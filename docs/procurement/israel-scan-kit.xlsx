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 чего начать" state="visible" r:id="rId4"/>
    <sheet sheetId="2" name="Проход тележки" state="visible" r:id="rId5"/>
    <sheet sheetId="3" name="Частоты и мощность" state="visible" r:id="rId6"/>
    <sheet sheetId="4" name="Растаможка" state="visible" r:id="rId7"/>
    <sheet sheetId="5" name="Сравнение" state="visible" r:id="rId8"/>
    <sheet sheetId="6" name="Каталог AliExpress" state="visible" r:id="rId9"/>
    <sheet sheetId="7" name="Не покупать" state="visible" r:id="rId10"/>
    <sheet sheetId="8" name="Интеграция API" state="visible" r:id="rId11"/>
    <sheet sheetId="9" name="Что ещё учесть" state="visible" r:id="rId12"/>
    <sheet sheetId="10" name="Смета" state="visible" r:id="rId13"/>
    <sheet sheetId="11" name="Источники" state="visible" r:id="rId14"/>
  </sheets>
  <calcPr calcId="171027"/>
</workbook>
</file>

<file path=xl/sharedStrings.xml><?xml version="1.0" encoding="utf-8"?>
<sst xmlns="http://schemas.openxmlformats.org/spreadsheetml/2006/main" count="305" uniqueCount="296">
  <si>
    <t>Рамка, которая читает пачку на проходе туда и обратно</t>
  </si>
  <si>
    <t>Задача склада: беспроводное чтение сразу многих позиций, когда тележка проходит через дверной проём, и отдельное чтение, когда она возвращается. Штрихкод этого не делает: его подносят к каждой вещи. Для пачки алюминиевых кабинетов нужна UHF-рамка на чипе Impinj E710, четыре антенны и два инфракрасных луча. Работать она может только в полосе Израиля 915–917 МГц и не выше 2 Вт EIRP. Надпись на коробке «0–25 м» и «33 дБм» — это чужая мощность, её в Израиле не включают.</t>
  </si>
  <si>
    <t>Что покупать</t>
  </si>
  <si>
    <t>Зачем это в проходе</t>
  </si>
  <si>
    <t>Мозг рамки</t>
  </si>
  <si>
    <t>CHAFON CF815, 4 антенных порта, Impinj E710, Ethernet. Один ридер на одну дверь. Модуль E710 без корпуса — запасной вариант, не вторая покупка.</t>
  </si>
  <si>
    <t>Четыре антенны</t>
  </si>
  <si>
    <t>Круговая поляризация, 9 дБи, 860–960 МГц. По две на каждой стойке, на разной высоте. Луч смотрит в проём, не вдоль стеллажа.</t>
  </si>
  <si>
    <t>Два луча</t>
  </si>
  <si>
    <t>Две пары фотодатчиков по ходу движения. Сначала луч у склада, потом луч у двора — это выход. Обратный порядок — возврат. Одна антенна направление не знает.</t>
  </si>
  <si>
    <t>Бирки на металл</t>
  </si>
  <si>
    <t>Сначала 20 штук ABS на свои кабинеты P3.9. Если с 1 м читаются при законной мощности, тот же тип клеится на весь парк: кабинет, кейс и бухта кабеля — отдельные бирки.</t>
  </si>
  <si>
    <t>Ручной UHF</t>
  </si>
  <si>
    <t>Не вместо рамки. Им записывают код в бирку и добивают то, что рамка не увидела, пока машина ещё у двери.</t>
  </si>
  <si>
    <t>Штрихкод</t>
  </si>
  <si>
    <t>Только для вещи без живой бирки. Пачку через проём он не читает, поэтому в основной комплект не входит.</t>
  </si>
  <si>
    <t>Перед оплатой ридера продавцу пишут: «Set the hop table to 915.25, 915.75, 916.25 and 916.75 MHz only. Max 2 W EIRP including the 9 dBi antennas. Send a screenshot. Do not ship a fixed EU 865–868 MHz or a full FCC 902–928 MHz hop.» Ответ «global 860–960» без списка частот — это не настройка под Израиль.</t>
  </si>
  <si>
    <t>Как пачка читается на выходе и на возврате</t>
  </si>
  <si>
    <t>Беспроводная здесь связь бирки с антенной. Сам ридер стоит на Ethernet в сеть сервера склада. Wi-Fi у металлических ворот пропадает, и пачка уедет без записи.</t>
  </si>
  <si>
    <t>Шаг</t>
  </si>
  <si>
    <t>Что происходит</t>
  </si>
  <si>
    <t>Проём</t>
  </si>
  <si>
    <t>Ширина под тележку около 2 м. Антенны на левой и правой стойке, нижняя примерно на 0,7 м, верхняя на 1,6 м. Так закрывается и один кабинет, и стопка.</t>
  </si>
  <si>
    <t>Мощность</t>
  </si>
  <si>
    <t>С антенной 9 дБи и кабелем около 2 дБ потерь с ридера можно отдать примерно 26 дБм. Вместе это около 2 Вт EIRP. Полные 33 дБм с той же антенной — уже около 10 Вт, это мимо правила.</t>
  </si>
  <si>
    <t>Дальность</t>
  </si>
  <si>
    <t>Цель — проём 2 м, не двор. На алюминии при законной мощности бирка на торце читается с 1–3 м, если её плоскость смотрит в проём. Цифра 15–25 м с витрины относится к бумажной бирке и полной американской мощности.</t>
  </si>
  <si>
    <t>Направление</t>
  </si>
  <si>
    <t>Луч A стоит ближе к складу, луч B ближе к двору. A, потом B — direction out. B, потом A — direction in. Чтение идёт, пока любой луч перекрыт, и ещё 300 мс после.</t>
  </si>
  <si>
    <t>Пачка</t>
  </si>
  <si>
    <t>Чип умеет сотни бирок в секунду на стенде. Стопка кабинетов металл к металлу так не читается: бирка между двумя алюминиевыми стенками молчит. Бирка клеится на внешний торец, одним и тем же боком в проём.</t>
  </si>
  <si>
    <t>Кейс и кабель</t>
  </si>
  <si>
    <t>Кейс на 8 кабинетов — своя бирка. Бухта кабеля, которая уходит одной строкой заказа, — одна бирка на бухту. Пятьдесят коротких перемычек внутри мешка рамка поштучно не разберёт.</t>
  </si>
  <si>
    <t>Пропуск</t>
  </si>
  <si>
    <t>После прохода экран показывает, сколько бирок заказа прочитано. Непрочитанные добивает ручной UHF, пока тележка у двери. Иначе «большое количество» тихо потеряет несколько кабинетов.</t>
  </si>
  <si>
    <t>Повтор</t>
  </si>
  <si>
    <t>Один проход — один номер сессии. Повтор той же бирки в ту же секунду остаток не удваивает. Возврат через час — новая сессия и direction in.</t>
  </si>
  <si>
    <t>Полоса Израиля и потолок 2 Вт вместе с антенной</t>
  </si>
  <si>
    <t>GS1 «UHF allocations for RFID»: Израиль 915–917 МГц, 2 Вт EIRP, регламент 27.08.2012, отдельные пределы вне полосы. ITU-R SM.2255 пишет уже: 915–916,8 МГц. Чип E710 физически умеет 860–930 МГц, но заводская прошивка часто прыгает по всей Европе или всей Америке. Перед включением — ответ משרד התקשורת, requests@moc.gov.il, 03-5198282.</t>
  </si>
  <si>
    <t>Диапазон</t>
  </si>
  <si>
    <t>Для этой рамки</t>
  </si>
  <si>
    <t>Почему</t>
  </si>
  <si>
    <t>915,25 / 915,75 / 916,25 / 916,75 МГц</t>
  </si>
  <si>
    <t>Единственный рабочий набор</t>
  </si>
  <si>
    <t>Четыре канала сетки 500 кГц внутри 915–917 МГц. Именно этот список просим зафиксировать в ридере.</t>
  </si>
  <si>
    <t>Ниже 915 и выше 917 МГц</t>
  </si>
  <si>
    <t>Не включать</t>
  </si>
  <si>
    <t>Полный хоп 902–928 МГц задевает обе стороны запрета. Китайский 920–925 тоже выше 917.</t>
  </si>
  <si>
    <t>865–868 МГц</t>
  </si>
  <si>
    <t>Не полоса Израиля</t>
  </si>
  <si>
    <t>Европейская рамка передаёт в другом месте, даже если она «тише».</t>
  </si>
  <si>
    <t>2 Вт EIRP</t>
  </si>
  <si>
    <t>Потолок с учётом антенны</t>
  </si>
  <si>
    <t>2 Вт — это 33 дБм на выходе антенны, не 33 дБм на разъёме ридера. 9 дБи сверху уже многократно превышают потолок, если ридер крутить на максимум.</t>
  </si>
  <si>
    <t>2400–2483,5 МГц, до 100 мВт</t>
  </si>
  <si>
    <t>Не рамка для пачки</t>
  </si>
  <si>
    <t>Строка 49 правил одобрения 2021 года, ETSI EN 300 328. Это Bluetooth сканера. Пачку в проёме он не читает.</t>
  </si>
  <si>
    <t>433,92 МГц и 125 кГц</t>
  </si>
  <si>
    <t>Не бирки кабинетов</t>
  </si>
  <si>
    <t>Пульты ворот и домофонные ключи. К учёту парка не относятся.</t>
  </si>
  <si>
    <t>Калькулятор ниже. Меняйте три жёлтые клетки. Зелёная сумма не должна быть выше 33 дБм. Это оценка для разговора с продавцом, не измерение лаборатории.</t>
  </si>
  <si>
    <t>Мощность с разъёма ридера, дБм</t>
  </si>
  <si>
    <t>Усиление антенны, дБи</t>
  </si>
  <si>
    <t>Потери кабеля, дБ</t>
  </si>
  <si>
    <t>EIRP, дБм</t>
  </si>
  <si>
    <t>Это выше 2 Вт?</t>
  </si>
  <si>
    <t>Ввоз передатчика рамки в Израиль</t>
  </si>
  <si>
    <t>НДС в 2026 году — 18%. С 2 июня 2026 личный порог снова 75 USD по цене товара, без доставки (ICL Global). Рамка для услуг проката — коммерческий ввоз, порог к ней не применяем и посылки ради порога не дробим. Выше 500 USD у личной посылки обычно появляется пошлина; ставку по коду товара называет таможня, 12% в калькуляторе — только пример.</t>
  </si>
  <si>
    <t>Тема</t>
  </si>
  <si>
    <t>Как считать</t>
  </si>
  <si>
    <t>Радио</t>
  </si>
  <si>
    <t>UHF-ридер — передатчик. Посылку могут удержать до проверки Министерства связи. CE и FCC на коробке одобрение не заменяют. Типовое одобрение выдаётся израильскому импортёру.</t>
  </si>
  <si>
    <t>Коммерческий ввоз</t>
  </si>
  <si>
    <t>Декларация, код товара, НДС 18%. У עוסק מורשה НДС с импорта обычно идёт к зачёту. Ридер и антенна могут попасть в разные коды.</t>
  </si>
  <si>
    <t>Вилка</t>
  </si>
  <si>
    <t>230 В, 50 Гц, вилка типа H. Блок с AliExpress часто американский или европейский. Нужен переходник или местный блок 100–240 В.</t>
  </si>
  <si>
    <t>Срок</t>
  </si>
  <si>
    <t>Рамку не ставить в график выезда, пока посылка выпущена, частоты проверены скрином и проход испытан на своих кабинетах.</t>
  </si>
  <si>
    <t>Цена товара, USD</t>
  </si>
  <si>
    <t>Доставка, USD</t>
  </si>
  <si>
    <t>Ставка пошлины, если товар &gt; 500 USD</t>
  </si>
  <si>
    <t>Пошлина, USD</t>
  </si>
  <si>
    <t>НДС 18%, если товар &gt; 75 USD</t>
  </si>
  <si>
    <t>Итого по личной шкале, USD</t>
  </si>
  <si>
    <t>Что реально читает пачку в проёме</t>
  </si>
  <si>
    <t>Сравнение под задачу «много позиций, на расстоянии, туда и обратно». Штрихкод и HF 13,56 МГц эту задачу не закрывают. Ручной UHF читает пачку в руке, но человек всё равно обходит тележку.</t>
  </si>
  <si>
    <t/>
  </si>
  <si>
    <t>UHF-рамка, 4 антенны и 2 луча</t>
  </si>
  <si>
    <t>Ручной UHF 915–917</t>
  </si>
  <si>
    <t>Штрихкод Bluetooth</t>
  </si>
  <si>
    <t>HF 13,56 МГц</t>
  </si>
  <si>
    <t>Пачка на проходе</t>
  </si>
  <si>
    <t>Да, если бирки смотрят в проём</t>
  </si>
  <si>
    <t>Пачка в луче пистолета, человек ведёт луч</t>
  </si>
  <si>
    <t>По одной вещи у сканера</t>
  </si>
  <si>
    <t>Касание каждой бирки</t>
  </si>
  <si>
    <t>Обратный проход</t>
  </si>
  <si>
    <t>Второй луч меняет направление на in</t>
  </si>
  <si>
    <t>Человек выбирает «возврат» в программе</t>
  </si>
  <si>
    <t>Тоже руками</t>
  </si>
  <si>
    <t>Руками</t>
  </si>
  <si>
    <t>Алюминиевый кабинет</t>
  </si>
  <si>
    <t>On-metal бирка на внешнем торце</t>
  </si>
  <si>
    <t>Та же бирка, с 1–3 м</t>
  </si>
  <si>
    <t>Этикетка на торец, в упор</t>
  </si>
  <si>
    <t>На металле молчит</t>
  </si>
  <si>
    <t>Кабель в мешке</t>
  </si>
  <si>
    <t>Одна бирка на бухту, не на каждую перемычку</t>
  </si>
  <si>
    <t>То же</t>
  </si>
  <si>
    <t>Флажок, если бирки нет</t>
  </si>
  <si>
    <t>Не подходит</t>
  </si>
  <si>
    <t>Закон Израиля</t>
  </si>
  <si>
    <t>Только 915–917 и не выше 2 Вт EIRP</t>
  </si>
  <si>
    <t>Та же полоса, антенна пистолета тоже в расчёте</t>
  </si>
  <si>
    <t>Bluetooth до 100 мВт, не UHF</t>
  </si>
  <si>
    <t>Не рамка</t>
  </si>
  <si>
    <t>Связь со складом</t>
  </si>
  <si>
    <t>Программа у двери шлёт пачку событий</t>
  </si>
  <si>
    <t>Приложение терминала шлёт пачку</t>
  </si>
  <si>
    <t>Код печатается в поле по одному</t>
  </si>
  <si>
    <t>Не закладываем</t>
  </si>
  <si>
    <t>Деньги на дверь</t>
  </si>
  <si>
    <t>Ридер, 4 антенны, лучи, бирки пробы</t>
  </si>
  <si>
    <t>Один терминал не заменяет рамку</t>
  </si>
  <si>
    <t>Дёшево и мимо задачи</t>
  </si>
  <si>
    <t>Не покупаем</t>
  </si>
  <si>
    <t>Карточки под рамку, 8 октября 2026</t>
  </si>
  <si>
    <t>Зелёное — ставим на дверь. Жёлтое — проба или добивка пропусков. Серое в колонке «шт» ноль — не докупать, это замена, а не добавка. Цена антенны на витрине плавает: в смете она оценка, на карточке проверьте число сами. Остальные цены сняты с витрины в тот день, без доставки и налогов.</t>
  </si>
  <si>
    <t>Фото</t>
  </si>
  <si>
    <t>Роль в проходе</t>
  </si>
  <si>
    <t>Зачем</t>
  </si>
  <si>
    <t>Карточка</t>
  </si>
  <si>
    <t>USD</t>
  </si>
  <si>
    <t>Частота</t>
  </si>
  <si>
    <t>Вердикт</t>
  </si>
  <si>
    <t>Как ставить</t>
  </si>
  <si>
    <t>Шт</t>
  </si>
  <si>
    <t>4 порта, пачка, Ethernet</t>
  </si>
  <si>
    <t>CHAFON CF815, Impinj E710, в карточке USB/RS232/TCP и SDK</t>
  </si>
  <si>
    <t>Чип 860–930, хоп надо сузить до 915–917</t>
  </si>
  <si>
    <t>Берём один</t>
  </si>
  <si>
    <t>Порты 1–2 на стойку склада, 3–4 на стойку двора. Мощность около 26 дБм, не 33. Вилка блока может быть не типа H.</t>
  </si>
  <si>
    <t>Поле рамки</t>
  </si>
  <si>
    <t>Круговая антенна в проём</t>
  </si>
  <si>
    <t>9 дБи, 860–960 МГц, круговая поляризация, уличная</t>
  </si>
  <si>
    <t>Антенна широкополосная, частоту задаёт ридер</t>
  </si>
  <si>
    <t>4 штуки, цену сверить</t>
  </si>
  <si>
    <t>Оценка 35 USD за штуку, на карточке цифра другая — берите карточку. Кабель короткий и с потерями, которые вычли в калькуляторе. Луч в проём, не в стеллаж.</t>
  </si>
  <si>
    <t>Бирка кабинета</t>
  </si>
  <si>
    <t>Читается на алюминии</t>
  </si>
  <si>
    <t>ABS anti-metal, ISO 18000-6C, 860–960, чип U8/U9/H3, лот 20 шт</t>
  </si>
  <si>
    <t>Бирка широкополосная, на 915 МГц живая</t>
  </si>
  <si>
    <t>Сначала один лот</t>
  </si>
  <si>
    <t>20 штук на реальные кабинеты при 26 дБм. Если читаются с 1 м торцом в антенну, тот же лот заказывают на парк. Бумажный инлей рядом не клеить.</t>
  </si>
  <si>
    <t>Запись и пропуски</t>
  </si>
  <si>
    <t>Добить то, что рамка не увидела</t>
  </si>
  <si>
    <t>Android PDA, UHF и штрихкод, 6 дюймов</t>
  </si>
  <si>
    <t>Должен запираться на те же 4 канала</t>
  </si>
  <si>
    <t>Один, после скрина частот</t>
  </si>
  <si>
    <t>Им пишут в EPC код CAB-P39. На двери он список непрочитанных, не основной проход. Если в регионах только EU, FCC и China, не брать.</t>
  </si>
  <si>
    <t>Надпись для человека</t>
  </si>
  <si>
    <t>Рядом с биркой читаемый код</t>
  </si>
  <si>
    <t>Niimbot M2, термотрансфер, 20–50 мм</t>
  </si>
  <si>
    <t>Радио нет</t>
  </si>
  <si>
    <t>Берём</t>
  </si>
  <si>
    <t>На наклейке крупно CAB-P39. Лента и полиэстер, не голая термобумага: в кузове она сереет.</t>
  </si>
  <si>
    <t>Вторая проба</t>
  </si>
  <si>
    <t>Если ABS отвалится от жары</t>
  </si>
  <si>
    <t>PCB anti-metal, 20 шт</t>
  </si>
  <si>
    <t>860–960 МГц</t>
  </si>
  <si>
    <t>Рядом с ABS, не вместо парка</t>
  </si>
  <si>
    <t>Один и тот же кабинет, две бирки, законная мощность. Какая стабильнее с 1 м, ту и размножать.</t>
  </si>
  <si>
    <t>Замена мозга</t>
  </si>
  <si>
    <t>Тот же чип без имени CHAFON</t>
  </si>
  <si>
    <t>Модуль E710, 4 порта, RS232 и TCP/IP</t>
  </si>
  <si>
    <t>860–960, полосу задаёт команда</t>
  </si>
  <si>
    <t>Не вместе с CF815</t>
  </si>
  <si>
    <t>Дешевле и больше возни с корпусом и питанием. Антенн в цену нет. Брать, только если CF815 не подтвердит 4 канала.</t>
  </si>
  <si>
    <t>Замена ручного</t>
  </si>
  <si>
    <t>Пистолет, если PDA мала</t>
  </si>
  <si>
    <t>Android UHF gun и 2D</t>
  </si>
  <si>
    <t>Та же проверка 915–917</t>
  </si>
  <si>
    <t>Не вместе с PDA</t>
  </si>
  <si>
    <t>Для стеллажа с расстояния. Рамку не заменяет.</t>
  </si>
  <si>
    <t>Именной терминал</t>
  </si>
  <si>
    <t>Chainway C72, UHF, Zebra 2D</t>
  </si>
  <si>
    <t>Регион прошивки выбирается</t>
  </si>
  <si>
    <t>SDK известнее безымянной PDA. Частоту всё равно фиксировать.</t>
  </si>
  <si>
    <t>Дыра без бирки</t>
  </si>
  <si>
    <t>Одна вещь, если бирка умерла</t>
  </si>
  <si>
    <t>NETUM L8BL Pro, Bluetooth 2D</t>
  </si>
  <si>
    <t>2,4 ГГц, не UHF</t>
  </si>
  <si>
    <t>Один запасной</t>
  </si>
  <si>
    <t>Пачку в проёме не читает. Нужен, когда бирку сорвали, а груз уже в тележке.</t>
  </si>
  <si>
    <t>Две пары фотодатчиков E3F (луч на просвет, NPN, 10–30 В) на AliExpress ищутся по строке «E3F-10DN1 E3F-10L». Отдельной проверенной карточки в этот файл не кладу, чтобы не приписать чужую цену. На дверь нужны две пары: луч у склада и луч у двора. Это не RFID и не отдельное разрешение на 915 МГц.</t>
  </si>
  <si>
    <t>Что выглядит как рамка и для этой задачи не годится</t>
  </si>
  <si>
    <t>Почему мимо</t>
  </si>
  <si>
    <t>Ссылка</t>
  </si>
  <si>
    <t>UHF writer, в заголовке 865–868 МГц</t>
  </si>
  <si>
    <t>Европейская полоса. Пачку в израильском проёме она не имеет права читать.</t>
  </si>
  <si>
    <t>Открыть</t>
  </si>
  <si>
    <t>Антенна 433,92 МГц</t>
  </si>
  <si>
    <t>Пульт ворот. Бирки кабинетов на этой частоте нет.</t>
  </si>
  <si>
    <t>Клонер 125 кГц</t>
  </si>
  <si>
    <t>Домофон. К проходу тележки не относится.</t>
  </si>
  <si>
    <t>Мокрый инлей 9662, 100 шт</t>
  </si>
  <si>
    <t>На картоне живёт, между алюминиевыми кабинетами молчит. Пачка как раз из алюминия.</t>
  </si>
  <si>
    <t>Туда же любой комплект с одной антенной и обещанием «направление само». Для тележки направление дают два луча. Туда же ридер, который умеет только EU и полный FCC и не принимает список из четырёх каналов. Обещание 950 бирок в секунду и 25 м — стенд, не стопка кабинетов при 2 Вт EIRP.</t>
  </si>
  <si>
    <t>Как проход тележки становится записями склада</t>
  </si>
  <si>
    <t>Сайт GitHub Pages пачку не запишет. Пишет сервер склада: docker compose up или npm run dev, файл data/warehouse.sqlite. Адрес со слэшем на конце.</t>
  </si>
  <si>
    <t>Место</t>
  </si>
  <si>
    <t>Как устроено</t>
  </si>
  <si>
    <t>Куда</t>
  </si>
  <si>
    <t>POST http://&lt;сервер-склада&gt;:3000/api/v1/integrations/scan/events/</t>
  </si>
  <si>
    <t>Секрет</t>
  </si>
  <si>
    <t>Если задан SCAN_WEBHOOK_SECRET, заголовок X-Signature: sha256=&lt;hmac тела&gt;. Секрет включаем до того, как рамка смотрит в сеть.</t>
  </si>
  <si>
    <t>Один проход</t>
  </si>
  <si>
    <t>Программа у двери собирает уникальные EPC, пока лучи перекрыты, и шлёт одно тело { "events": [ ... ] }.</t>
  </si>
  <si>
    <t>Событие выхода</t>
  </si>
  <si>
    <t>{ "eventId": "pass-20261008T1640-EPC", "source": "gate", "code": "CAB-P39", "direction": "out", "qty": 1, "deviceId": "door-1", "meta": { "externalId": "номер-заказа", "epc": "EPC" } }</t>
  </si>
  <si>
    <t>Возврат</t>
  </si>
  <si>
    <t>Тот же набор, direction in, новый eventId с другой минутой прохода. Иначе возврат не вернёт остаток.</t>
  </si>
  <si>
    <t>Код</t>
  </si>
  <si>
    <t>code — это CAB-P39, не заводской номер чипа. В EPC при записи кладут тот же код. Нет таблицы EPC → код, и сервер отклонит неизвестный code.</t>
  </si>
  <si>
    <t>Повтор в проёме</t>
  </si>
  <si>
    <t>Один eventId на бирку и на проход. Тележка, которая стоит в луче десять секунд, не списывает кабинет десять раз.</t>
  </si>
  <si>
    <t>Заказ mapper</t>
  </si>
  <si>
    <t>Рамка заказ не создаёт. Заказ уже лежит после POST /api/v1/integrations/mapper/orders/. Проход только списывает строки с тем же externalId.</t>
  </si>
  <si>
    <t>Кто шлёт</t>
  </si>
  <si>
    <t>CF815 по TCP отдаёт EPC и номер порта маленькой программе на компьютере у двери. Программа добавляет направление лучей и делает POST. В сам ридер этот API не вшит.</t>
  </si>
  <si>
    <t>Без этого пачка в проёме читается враньём</t>
  </si>
  <si>
    <t>Что сделать</t>
  </si>
  <si>
    <t>Куда клеить</t>
  </si>
  <si>
    <t>Внешний торец кабинета, один бок у всего парка. Между двумя кабинетами в стопке бирка мертва. Кейс и кабинет — разные бирки, иначе восемь штук спишутся дважды.</t>
  </si>
  <si>
    <t>Бухта</t>
  </si>
  <si>
    <t>Одна бирка на бухту, которая является строкой заказа. Короткие перемычки внутри бухты рамка не пересчитает.</t>
  </si>
  <si>
    <t>Чужой стеллаж</t>
  </si>
  <si>
    <t>Антенны смотрят в проём. Мощность не поднимают «чтобы добивало до машины во дворе»: тогда спишется стеллаж у двери.</t>
  </si>
  <si>
    <t>Люди</t>
  </si>
  <si>
    <t>Бирка в кармане тоже читается. В расход попадает только EPC, который есть в открытом заказе этого выхода.</t>
  </si>
  <si>
    <t>Список пропусков</t>
  </si>
  <si>
    <t>После лучей на экране «прочитано 54 из 60». Шесть добивает ручной UHF до отъезда. Без этого большого количества на бумаге не будет.</t>
  </si>
  <si>
    <t>Офлайн</t>
  </si>
  <si>
    <t>Если сервер моргнул, программа копит события и досылает с теми же eventId.</t>
  </si>
  <si>
    <t>Питание</t>
  </si>
  <si>
    <t>12 В на ридер и лучи, маленький бесперебойник. Иначе отключение света выглядит как «ничего не вышло».</t>
  </si>
  <si>
    <t>Проба</t>
  </si>
  <si>
    <t>20 бирок, 8 кабинетов стопкой, один кейс, одна бухта, проход туда и обратно при 26 дБм. Дальность с картинки к этому тесту отношения не имеет.</t>
  </si>
  <si>
    <t>Пароль ридера</t>
  </si>
  <si>
    <t>Кто угодно не возвращает американский хоп. Иначе рамка снова передаёт ниже 915 и выше 917 МГц.</t>
  </si>
  <si>
    <t>Одна дверь. Вторая дверь — ещё один такой комплект.</t>
  </si>
  <si>
    <t>Позиция</t>
  </si>
  <si>
    <t>Цена USD</t>
  </si>
  <si>
    <t>Штук</t>
  </si>
  <si>
    <t>Сумма USD</t>
  </si>
  <si>
    <t>Комментарий</t>
  </si>
  <si>
    <t>CHAFON CF815</t>
  </si>
  <si>
    <t>Модуль E710 за 290.89 вместо него, не вместе</t>
  </si>
  <si>
    <t>Антенна 9 дБи, оценка</t>
  </si>
  <si>
    <t>Цену сверить на карточке 4000110617928</t>
  </si>
  <si>
    <t>Две пары лучей E3F, оценка</t>
  </si>
  <si>
    <t>Поиск E3F-10DN1 и E3F-10L, карточки в файле нет</t>
  </si>
  <si>
    <t>Проба ABS, лот 20 шт</t>
  </si>
  <si>
    <t>Парк докупается тем же лотом после прохода</t>
  </si>
  <si>
    <t>Проба PCB, лот 20 шт</t>
  </si>
  <si>
    <t>Сравнение на одном кабинете</t>
  </si>
  <si>
    <t>Ручной UHF PDA</t>
  </si>
  <si>
    <t>Только если продавец зафиксирует 4 канала</t>
  </si>
  <si>
    <t>Niimbot M2</t>
  </si>
  <si>
    <t>Лента и полиэстер ещё около 30 USD</t>
  </si>
  <si>
    <t>NETUM, запас на сорванную бирку</t>
  </si>
  <si>
    <t>Не основной проход</t>
  </si>
  <si>
    <t>Переходник на вилку H</t>
  </si>
  <si>
    <t>Местный магазин, оценка</t>
  </si>
  <si>
    <t>Дверь, если PDA подтвердят</t>
  </si>
  <si>
    <t>НДС 18%, пошлина и доставка сверху. Пистолет за 669 USD и Chainway за 818 USD в сумму не входят: это замена PDA. Бирки на весь парк сюда не входят: их число равно числу кабинетов, кейсов и бухт после удачной пробы лота в 20 штук.</t>
  </si>
  <si>
    <t>Откуда правила. Цены витрины меняются.</t>
  </si>
  <si>
    <t>Источник</t>
  </si>
  <si>
    <t>Зачем он здесь</t>
  </si>
  <si>
    <t>GS1, UHF allocations for RFID</t>
  </si>
  <si>
    <t>https://www.gs1.org/docs/epc/uhf_regulations.pdf — Израиль: 915–917 МГц, 2 Вт EIRP, 27.08.2012.</t>
  </si>
  <si>
    <t>ITU-R SM.2255 (2012)</t>
  </si>
  <si>
    <t>https://www.itu.int/dms_pub/itu-r/opb/rep/r-rep-sm.2255-2012-pdf-e.pdf — запись уже, 915–916,8 МГц. Поэтому нужен ответ министерства.</t>
  </si>
  <si>
    <t>Impinj E710, даташит</t>
  </si>
  <si>
    <t>Чип принимает 860–930 МГц. Это не разрешение включить весь диапазон в Израиле.</t>
  </si>
  <si>
    <t>תקנות הטלגרף האלחוטי, תשפ"א-2021, строка 49</t>
  </si>
  <si>
    <t>2400–2483,5 МГц, до 100 мВт, ETSI EN 300 328. Это Bluetooth, не рамка.</t>
  </si>
  <si>
    <t>ICL Global, 02.06.2026</t>
  </si>
  <si>
    <t>https://www.iclglobal.com/news_update/vat-exemption-threshold-for-personal-imports-to-israel-updated/ — личный порог снова 75 USD, НДС 18%.</t>
  </si>
  <si>
    <t>משרד התקשורת</t>
  </si>
  <si>
    <t>requests@moc.gov.il, 03-5198282. Можно ли включить конкретную модель на четырёх каналах 915–917 МГц при 2 Вт EIRP.</t>
  </si>
  <si>
    <t>Карточки AliExpress</t>
  </si>
  <si>
    <t>CF815 2255800904982823, антенна 4000110617928, бирки и терминалы — ссылки на листе каталога. Антенна и лучи в смете частично оценка.</t>
  </si>
  <si>
    <t>Код склада</t>
  </si>
  <si>
    <t>POST /api/v1/integrations/scan/events/ уже принимает пачку events и direction in или out.</t>
  </si>
  <si>
    <t>Файл подбирает рамку под проход пачки. Он не является разрешением Министерства связи на передачу и не заменяет таможенного брокера.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</si>
</sst>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7" x14ac:knownFonts="1">
    <font>
      <color theme="1"/>
      <family val="2"/>
      <scheme val="minor"/>
      <sz val="11"/>
      <name val="Calibri"/>
    </font>
    <font>
      <b/>
      <color rgb="FF1C1915"/>
      <sz val="16"/>
      <name val="Calibri"/>
    </font>
    <font>
      <color rgb="FF3F3A34"/>
      <sz val="11"/>
      <name val="Calibri"/>
    </font>
    <font>
      <b/>
      <color rgb="FFFFFFFF"/>
      <sz val="11"/>
      <name val="Calibri"/>
    </font>
    <font>
      <b/>
      <sz val="11"/>
      <name val="Calibri"/>
    </font>
    <font>
      <u/>
      <color rgb="FF1D4E89"/>
      <sz val="11"/>
      <name val="Calibri"/>
    </font>
    <font>
      <b/>
      <name val="Calibri"/>
    </font>
  </fonts>
  <fills count="8">
    <fill>
      <patternFill patternType="none"/>
    </fill>
    <fill>
      <patternFill patternType="gray125"/>
    </fill>
    <fill>
      <patternFill patternType="solid">
        <fgColor rgb="FF1C1915"/>
      </patternFill>
    </fill>
    <fill>
      <patternFill patternType="solid">
        <fgColor rgb="FFE5F2EA"/>
      </patternFill>
    </fill>
    <fill>
      <patternFill patternType="solid">
        <fgColor rgb="FFFFF6E4"/>
      </patternFill>
    </fill>
    <fill>
      <patternFill patternType="solid">
        <fgColor rgb="FFF8E4E4"/>
      </patternFill>
    </fill>
    <fill>
      <patternFill patternType="solid">
        <fgColor rgb="FFF6F1E8"/>
      </patternFill>
    </fill>
    <fill>
      <patternFill patternType="solid">
        <fgColor rgb="FFFFF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4" fillId="0" borderId="0" xfId="0" applyFont="1"/>
    <xf numFmtId="0" fontId="0" fillId="4" borderId="0" xfId="0" applyFill="1"/>
    <xf numFmtId="0" fontId="0" fillId="3" borderId="0" xfId="0" applyFill="1"/>
    <xf numFmtId="9" fontId="0" fillId="0" borderId="0" xfId="0" applyNumberFormat="1"/>
    <xf numFmtId="4" fontId="0" fillId="0" borderId="0" xfId="0" applyNumberFormat="1"/>
    <xf numFmtId="0" fontId="4" fillId="6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164" fontId="0" fillId="3" borderId="0" xfId="0" applyNumberForma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4" fillId="7" borderId="0" xfId="0" applyFont="1" applyFill="1" applyAlignment="1">
      <alignment vertical="top" wrapText="1"/>
    </xf>
    <xf numFmtId="164" fontId="0" fillId="0" borderId="0" xfId="0" applyNumberFormat="1"/>
    <xf numFmtId="0" fontId="6" fillId="3" borderId="0" xfId="0" applyFont="1" applyFill="1"/>
    <xf numFmtId="164" fontId="0" fillId="3" borderId="0" xfId="0" applyNumberForma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Relationship Id="rId10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27000</xdr:colOff>
      <xdr:row>4</xdr:row>
      <xdr:rowOff>93600</xdr:rowOff>
    </xdr:from>
    <xdr:ext cx="914400" cy="914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5</xdr:row>
      <xdr:rowOff>93600</xdr:rowOff>
    </xdr:from>
    <xdr:ext cx="914400" cy="914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6</xdr:row>
      <xdr:rowOff>93600</xdr:rowOff>
    </xdr:from>
    <xdr:ext cx="914400" cy="9144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7</xdr:row>
      <xdr:rowOff>93600</xdr:rowOff>
    </xdr:from>
    <xdr:ext cx="914400" cy="9144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8</xdr:row>
      <xdr:rowOff>93599</xdr:rowOff>
    </xdr:from>
    <xdr:ext cx="914400" cy="9144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9</xdr:row>
      <xdr:rowOff>93599</xdr:rowOff>
    </xdr:from>
    <xdr:ext cx="914400" cy="9144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10</xdr:row>
      <xdr:rowOff>93599</xdr:rowOff>
    </xdr:from>
    <xdr:ext cx="914400" cy="9144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11</xdr:row>
      <xdr:rowOff>93599</xdr:rowOff>
    </xdr:from>
    <xdr:ext cx="914400" cy="91440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12</xdr:row>
      <xdr:rowOff>93599</xdr:rowOff>
    </xdr:from>
    <xdr:ext cx="914400" cy="9144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13</xdr:row>
      <xdr:rowOff>93599</xdr:rowOff>
    </xdr:from>
    <xdr:ext cx="914400" cy="91440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2255800904982823.html" TargetMode="External"/><Relationship Id="rId2" Type="http://schemas.openxmlformats.org/officeDocument/2006/relationships/hyperlink" Target="https://www.aliexpress.com/item/4000110617928.html" TargetMode="External"/><Relationship Id="rId3" Type="http://schemas.openxmlformats.org/officeDocument/2006/relationships/hyperlink" Target="https://www.aliexpress.com/item/3256809928444565.html" TargetMode="External"/><Relationship Id="rId4" Type="http://schemas.openxmlformats.org/officeDocument/2006/relationships/hyperlink" Target="https://www.aliexpress.com/item/3256812403093676.html" TargetMode="External"/><Relationship Id="rId5" Type="http://schemas.openxmlformats.org/officeDocument/2006/relationships/hyperlink" Target="https://www.aliexpress.com/item/3256807174481455.html" TargetMode="External"/><Relationship Id="rId6" Type="http://schemas.openxmlformats.org/officeDocument/2006/relationships/hyperlink" Target="https://www.aliexpress.com/item/3256806013345138.html" TargetMode="External"/><Relationship Id="rId7" Type="http://schemas.openxmlformats.org/officeDocument/2006/relationships/hyperlink" Target="https://www.aliexpress.com/item/3256812395316151.html" TargetMode="External"/><Relationship Id="rId8" Type="http://schemas.openxmlformats.org/officeDocument/2006/relationships/hyperlink" Target="https://www.aliexpress.com/item/3256812528914328.html" TargetMode="External"/><Relationship Id="rId9" Type="http://schemas.openxmlformats.org/officeDocument/2006/relationships/hyperlink" Target="https://www.aliexpress.com/item/3256811537361703.html" TargetMode="External"/><Relationship Id="rId10" Type="http://schemas.openxmlformats.org/officeDocument/2006/relationships/hyperlink" Target="https://www.aliexpress.com/item/3256807158575890.html" TargetMode="External"/><Relationship Id="rId11" Type="http://schemas.openxmlformats.org/officeDocument/2006/relationships/drawing" Target="../drawings/drawing1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3256808492231150.html" TargetMode="External"/><Relationship Id="rId2" Type="http://schemas.openxmlformats.org/officeDocument/2006/relationships/hyperlink" Target="https://www.aliexpress.com/item/3256806984597837.html" TargetMode="External"/><Relationship Id="rId3" Type="http://schemas.openxmlformats.org/officeDocument/2006/relationships/hyperlink" Target="https://www.aliexpress.com/item/3256811990656145.html" TargetMode="External"/><Relationship Id="rId4" Type="http://schemas.openxmlformats.org/officeDocument/2006/relationships/hyperlink" Target="https://www.aliexpress.com/item/22518326326247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92" customWidth="1"/>
  </cols>
  <sheetData>
    <row r="1" ht="26" customHeight="1" spans="1:2" x14ac:dyDescent="0.25">
      <c r="A1" s="1" t="s">
        <v>0</v>
      </c>
      <c r="B1" s="1"/>
    </row>
    <row r="2" ht="72" customHeight="1" spans="1:2" x14ac:dyDescent="0.25">
      <c r="A2" s="2" t="s">
        <v>1</v>
      </c>
      <c r="B2" s="2"/>
    </row>
    <row r="4" ht="28" customHeight="1" spans="1:2" s="3" customFormat="1" x14ac:dyDescent="0.25">
      <c r="A4" s="3" t="s">
        <v>2</v>
      </c>
      <c r="B4" s="3" t="s">
        <v>3</v>
      </c>
    </row>
    <row r="5" ht="48" customHeight="1" spans="1:2" x14ac:dyDescent="0.25">
      <c r="A5" s="4" t="s">
        <v>4</v>
      </c>
      <c r="B5" s="4" t="s">
        <v>5</v>
      </c>
    </row>
    <row r="6" ht="48" customHeight="1" spans="1:2" x14ac:dyDescent="0.25">
      <c r="A6" s="4" t="s">
        <v>6</v>
      </c>
      <c r="B6" s="4" t="s">
        <v>7</v>
      </c>
    </row>
    <row r="7" ht="48" customHeight="1" spans="1:2" x14ac:dyDescent="0.25">
      <c r="A7" s="4" t="s">
        <v>8</v>
      </c>
      <c r="B7" s="4" t="s">
        <v>9</v>
      </c>
    </row>
    <row r="8" ht="48" customHeight="1" spans="1:2" x14ac:dyDescent="0.25">
      <c r="A8" s="4" t="s">
        <v>10</v>
      </c>
      <c r="B8" s="4" t="s">
        <v>11</v>
      </c>
    </row>
    <row r="9" ht="48" customHeight="1" spans="1:2" x14ac:dyDescent="0.25">
      <c r="A9" s="5" t="s">
        <v>12</v>
      </c>
      <c r="B9" s="5" t="s">
        <v>13</v>
      </c>
    </row>
    <row r="10" ht="48" customHeight="1" spans="1:2" x14ac:dyDescent="0.25">
      <c r="A10" s="6" t="s">
        <v>14</v>
      </c>
      <c r="B10" s="6" t="s">
        <v>15</v>
      </c>
    </row>
    <row r="12" ht="56" customHeight="1" spans="1:2" x14ac:dyDescent="0.25">
      <c r="A12" s="2" t="s">
        <v>16</v>
      </c>
      <c r="B12" s="2"/>
    </row>
  </sheetData>
  <mergeCells count="3">
    <mergeCell ref="A1:B1"/>
    <mergeCell ref="A2:B2"/>
    <mergeCell ref="A12:B1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92" customWidth="1"/>
  </cols>
  <sheetData>
    <row r="1" ht="26" customHeight="1" spans="1:2" x14ac:dyDescent="0.25">
      <c r="A1" s="1" t="s">
        <v>17</v>
      </c>
      <c r="B1" s="1"/>
    </row>
    <row r="2" ht="36" customHeight="1" spans="1:2" x14ac:dyDescent="0.25">
      <c r="A2" s="2" t="s">
        <v>18</v>
      </c>
      <c r="B2" s="2"/>
    </row>
    <row r="4" ht="28" customHeight="1" spans="1:2" s="3" customFormat="1" x14ac:dyDescent="0.25">
      <c r="A4" s="3" t="s">
        <v>19</v>
      </c>
      <c r="B4" s="3" t="s">
        <v>20</v>
      </c>
    </row>
    <row r="5" ht="48" customHeight="1" spans="1:2" x14ac:dyDescent="0.25">
      <c r="A5" s="7" t="s">
        <v>21</v>
      </c>
      <c r="B5" s="7" t="s">
        <v>22</v>
      </c>
    </row>
    <row r="6" ht="48" customHeight="1" spans="1:2" x14ac:dyDescent="0.25">
      <c r="A6" s="8" t="s">
        <v>23</v>
      </c>
      <c r="B6" s="8" t="s">
        <v>24</v>
      </c>
    </row>
    <row r="7" ht="48" customHeight="1" spans="1:2" x14ac:dyDescent="0.25">
      <c r="A7" s="7" t="s">
        <v>25</v>
      </c>
      <c r="B7" s="7" t="s">
        <v>26</v>
      </c>
    </row>
    <row r="8" ht="48" customHeight="1" spans="1:2" x14ac:dyDescent="0.25">
      <c r="A8" s="8" t="s">
        <v>27</v>
      </c>
      <c r="B8" s="8" t="s">
        <v>28</v>
      </c>
    </row>
    <row r="9" ht="48" customHeight="1" spans="1:2" x14ac:dyDescent="0.25">
      <c r="A9" s="7" t="s">
        <v>29</v>
      </c>
      <c r="B9" s="7" t="s">
        <v>30</v>
      </c>
    </row>
    <row r="10" ht="48" customHeight="1" spans="1:2" x14ac:dyDescent="0.25">
      <c r="A10" s="8" t="s">
        <v>31</v>
      </c>
      <c r="B10" s="8" t="s">
        <v>32</v>
      </c>
    </row>
    <row r="11" ht="48" customHeight="1" spans="1:2" x14ac:dyDescent="0.25">
      <c r="A11" s="7" t="s">
        <v>33</v>
      </c>
      <c r="B11" s="7" t="s">
        <v>34</v>
      </c>
    </row>
    <row r="12" ht="48" customHeight="1" spans="1:2" x14ac:dyDescent="0.25">
      <c r="A12" s="8" t="s">
        <v>35</v>
      </c>
      <c r="B12" s="8" t="s">
        <v>36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C1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6" customWidth="1"/>
    <col min="2" max="2" width="28" customWidth="1"/>
    <col min="3" max="3" width="62" customWidth="1"/>
  </cols>
  <sheetData>
    <row r="1" ht="26" customHeight="1" spans="1:3" x14ac:dyDescent="0.25">
      <c r="A1" s="1" t="s">
        <v>37</v>
      </c>
      <c r="B1" s="1"/>
      <c r="C1" s="1"/>
    </row>
    <row r="2" ht="56" customHeight="1" spans="1:3" x14ac:dyDescent="0.25">
      <c r="A2" s="2" t="s">
        <v>38</v>
      </c>
      <c r="B2" s="2"/>
      <c r="C2" s="2"/>
    </row>
    <row r="4" ht="28" customHeight="1" spans="1:3" s="3" customFormat="1" x14ac:dyDescent="0.25">
      <c r="A4" s="3" t="s">
        <v>39</v>
      </c>
      <c r="B4" s="3" t="s">
        <v>40</v>
      </c>
      <c r="C4" s="3" t="s">
        <v>41</v>
      </c>
    </row>
    <row r="5" ht="44" customHeight="1" spans="1:3" x14ac:dyDescent="0.25">
      <c r="A5" s="4" t="s">
        <v>42</v>
      </c>
      <c r="B5" s="4" t="s">
        <v>43</v>
      </c>
      <c r="C5" s="4" t="s">
        <v>44</v>
      </c>
    </row>
    <row r="6" ht="44" customHeight="1" spans="1:3" x14ac:dyDescent="0.25">
      <c r="A6" s="6" t="s">
        <v>45</v>
      </c>
      <c r="B6" s="6" t="s">
        <v>46</v>
      </c>
      <c r="C6" s="6" t="s">
        <v>47</v>
      </c>
    </row>
    <row r="7" ht="44" customHeight="1" spans="1:3" x14ac:dyDescent="0.25">
      <c r="A7" s="6" t="s">
        <v>48</v>
      </c>
      <c r="B7" s="6" t="s">
        <v>49</v>
      </c>
      <c r="C7" s="6" t="s">
        <v>50</v>
      </c>
    </row>
    <row r="8" ht="44" customHeight="1" spans="1:3" x14ac:dyDescent="0.25">
      <c r="A8" s="4" t="s">
        <v>51</v>
      </c>
      <c r="B8" s="4" t="s">
        <v>52</v>
      </c>
      <c r="C8" s="4" t="s">
        <v>53</v>
      </c>
    </row>
    <row r="9" ht="44" customHeight="1" spans="1:3" x14ac:dyDescent="0.25">
      <c r="A9" s="5" t="s">
        <v>54</v>
      </c>
      <c r="B9" s="5" t="s">
        <v>55</v>
      </c>
      <c r="C9" s="5" t="s">
        <v>56</v>
      </c>
    </row>
    <row r="10" ht="44" customHeight="1" spans="1:3" x14ac:dyDescent="0.25">
      <c r="A10" s="6" t="s">
        <v>57</v>
      </c>
      <c r="B10" s="6" t="s">
        <v>58</v>
      </c>
      <c r="C10" s="6" t="s">
        <v>59</v>
      </c>
    </row>
    <row r="12" ht="32" customHeight="1" spans="1:3" x14ac:dyDescent="0.25">
      <c r="A12" s="2" t="s">
        <v>60</v>
      </c>
      <c r="B12" s="2"/>
      <c r="C12" s="2"/>
    </row>
    <row r="14" spans="1:2" x14ac:dyDescent="0.25">
      <c r="A14" s="9" t="s">
        <v>61</v>
      </c>
      <c r="B14" s="10">
        <v>26</v>
      </c>
    </row>
    <row r="15" spans="1:2" x14ac:dyDescent="0.25">
      <c r="A15" s="9" t="s">
        <v>62</v>
      </c>
      <c r="B15" s="10">
        <v>9</v>
      </c>
    </row>
    <row r="16" spans="1:2" x14ac:dyDescent="0.25">
      <c r="A16" s="9" t="s">
        <v>63</v>
      </c>
      <c r="B16" s="10">
        <v>2</v>
      </c>
    </row>
    <row r="17" spans="1:2" x14ac:dyDescent="0.25">
      <c r="A17" s="9" t="s">
        <v>64</v>
      </c>
      <c r="B17" s="11">
        <f>B14+B15-B16</f>
      </c>
    </row>
    <row r="18" spans="1:2" x14ac:dyDescent="0.25">
      <c r="A18" s="9" t="s">
        <v>65</v>
      </c>
      <c r="B18" s="11">
        <f>IF(B17&gt;33,"Да, убавить мощность ридера","Нет, в потолке 33 дБм")</f>
      </c>
    </row>
  </sheetData>
  <mergeCells count="3">
    <mergeCell ref="A1:C1"/>
    <mergeCell ref="A2:C2"/>
    <mergeCell ref="A12:C1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6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80" customWidth="1"/>
  </cols>
  <sheetData>
    <row r="1" ht="26" customHeight="1" spans="1:2" x14ac:dyDescent="0.25">
      <c r="A1" s="1" t="s">
        <v>66</v>
      </c>
      <c r="B1" s="1"/>
    </row>
    <row r="2" ht="56" customHeight="1" spans="1:2" x14ac:dyDescent="0.25">
      <c r="A2" s="2" t="s">
        <v>67</v>
      </c>
      <c r="B2" s="2"/>
    </row>
    <row r="4" ht="28" customHeight="1" spans="1:2" s="3" customFormat="1" x14ac:dyDescent="0.25">
      <c r="A4" s="3" t="s">
        <v>68</v>
      </c>
      <c r="B4" s="3" t="s">
        <v>69</v>
      </c>
    </row>
    <row r="5" ht="40" customHeight="1" spans="1:2" x14ac:dyDescent="0.25">
      <c r="A5" s="7" t="s">
        <v>70</v>
      </c>
      <c r="B5" s="7" t="s">
        <v>71</v>
      </c>
    </row>
    <row r="6" ht="40" customHeight="1" spans="1:2" x14ac:dyDescent="0.25">
      <c r="A6" s="8" t="s">
        <v>72</v>
      </c>
      <c r="B6" s="8" t="s">
        <v>73</v>
      </c>
    </row>
    <row r="7" ht="40" customHeight="1" spans="1:2" x14ac:dyDescent="0.25">
      <c r="A7" s="7" t="s">
        <v>74</v>
      </c>
      <c r="B7" s="7" t="s">
        <v>75</v>
      </c>
    </row>
    <row r="8" ht="40" customHeight="1" spans="1:2" x14ac:dyDescent="0.25">
      <c r="A8" s="8" t="s">
        <v>76</v>
      </c>
      <c r="B8" s="8" t="s">
        <v>77</v>
      </c>
    </row>
    <row r="11" spans="1:2" x14ac:dyDescent="0.25">
      <c r="A11" s="9" t="s">
        <v>78</v>
      </c>
      <c r="B11">
        <v>352</v>
      </c>
    </row>
    <row r="12" spans="1:2" x14ac:dyDescent="0.25">
      <c r="A12" s="9" t="s">
        <v>79</v>
      </c>
      <c r="B12">
        <v>40</v>
      </c>
    </row>
    <row r="13" spans="1:2" x14ac:dyDescent="0.25">
      <c r="A13" s="9" t="s">
        <v>80</v>
      </c>
      <c r="B13" s="12">
        <v>0.12</v>
      </c>
    </row>
    <row r="14" spans="1:2" x14ac:dyDescent="0.25">
      <c r="A14" s="9" t="s">
        <v>81</v>
      </c>
      <c r="B14" s="13">
        <f>IF(B11&gt;500,B11*B13,0)</f>
      </c>
    </row>
    <row r="15" spans="1:2" x14ac:dyDescent="0.25">
      <c r="A15" s="9" t="s">
        <v>82</v>
      </c>
      <c r="B15" s="13">
        <f>IF(B11&gt;75,(B11+B12+B14)*0.18,0)</f>
      </c>
    </row>
    <row r="16" spans="1:2" x14ac:dyDescent="0.25">
      <c r="A16" s="9" t="s">
        <v>83</v>
      </c>
      <c r="B16" s="13">
        <f>B11+B12+B14+B15</f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36" customWidth="1"/>
    <col min="3" max="3" width="40" customWidth="1"/>
    <col min="4" max="4" width="42" customWidth="1"/>
    <col min="5" max="5" width="34" customWidth="1"/>
  </cols>
  <sheetData>
    <row r="1" ht="26" customHeight="1" spans="1:5" x14ac:dyDescent="0.25">
      <c r="A1" s="1" t="s">
        <v>84</v>
      </c>
      <c r="B1" s="1"/>
      <c r="C1" s="1"/>
      <c r="D1" s="1"/>
      <c r="E1" s="1"/>
    </row>
    <row r="2" ht="36" customHeight="1" spans="1:5" x14ac:dyDescent="0.25">
      <c r="A2" s="2" t="s">
        <v>85</v>
      </c>
      <c r="B2" s="2"/>
      <c r="C2" s="2"/>
      <c r="D2" s="2"/>
      <c r="E2" s="2"/>
    </row>
    <row r="4" ht="28" customHeight="1" spans="1:5" s="3" customForma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</row>
    <row r="5" ht="40" customHeight="1" spans="1:5" x14ac:dyDescent="0.25">
      <c r="A5" s="14" t="s">
        <v>91</v>
      </c>
      <c r="B5" s="4" t="s">
        <v>92</v>
      </c>
      <c r="C5" s="5" t="s">
        <v>93</v>
      </c>
      <c r="D5" s="6" t="s">
        <v>94</v>
      </c>
      <c r="E5" s="6" t="s">
        <v>95</v>
      </c>
    </row>
    <row r="6" ht="40" customHeight="1" spans="1:5" x14ac:dyDescent="0.25">
      <c r="A6" s="14" t="s">
        <v>96</v>
      </c>
      <c r="B6" s="4" t="s">
        <v>97</v>
      </c>
      <c r="C6" s="5" t="s">
        <v>98</v>
      </c>
      <c r="D6" s="6" t="s">
        <v>99</v>
      </c>
      <c r="E6" s="6" t="s">
        <v>100</v>
      </c>
    </row>
    <row r="7" ht="40" customHeight="1" spans="1:5" x14ac:dyDescent="0.25">
      <c r="A7" s="14" t="s">
        <v>101</v>
      </c>
      <c r="B7" s="4" t="s">
        <v>102</v>
      </c>
      <c r="C7" s="5" t="s">
        <v>103</v>
      </c>
      <c r="D7" s="6" t="s">
        <v>104</v>
      </c>
      <c r="E7" s="6" t="s">
        <v>105</v>
      </c>
    </row>
    <row r="8" ht="40" customHeight="1" spans="1:5" x14ac:dyDescent="0.25">
      <c r="A8" s="14" t="s">
        <v>106</v>
      </c>
      <c r="B8" s="4" t="s">
        <v>107</v>
      </c>
      <c r="C8" s="5" t="s">
        <v>108</v>
      </c>
      <c r="D8" s="6" t="s">
        <v>109</v>
      </c>
      <c r="E8" s="6" t="s">
        <v>110</v>
      </c>
    </row>
    <row r="9" ht="40" customHeight="1" spans="1:5" x14ac:dyDescent="0.25">
      <c r="A9" s="14" t="s">
        <v>111</v>
      </c>
      <c r="B9" s="4" t="s">
        <v>112</v>
      </c>
      <c r="C9" s="5" t="s">
        <v>113</v>
      </c>
      <c r="D9" s="6" t="s">
        <v>114</v>
      </c>
      <c r="E9" s="6" t="s">
        <v>115</v>
      </c>
    </row>
    <row r="10" ht="40" customHeight="1" spans="1:5" x14ac:dyDescent="0.25">
      <c r="A10" s="14" t="s">
        <v>116</v>
      </c>
      <c r="B10" s="4" t="s">
        <v>117</v>
      </c>
      <c r="C10" s="5" t="s">
        <v>118</v>
      </c>
      <c r="D10" s="6" t="s">
        <v>119</v>
      </c>
      <c r="E10" s="6" t="s">
        <v>120</v>
      </c>
    </row>
    <row r="11" ht="40" customHeight="1" spans="1:5" x14ac:dyDescent="0.25">
      <c r="A11" s="14" t="s">
        <v>121</v>
      </c>
      <c r="B11" s="4" t="s">
        <v>122</v>
      </c>
      <c r="C11" s="5" t="s">
        <v>123</v>
      </c>
      <c r="D11" s="6" t="s">
        <v>124</v>
      </c>
      <c r="E11" s="6" t="s">
        <v>125</v>
      </c>
    </row>
  </sheetData>
  <mergeCells count="2">
    <mergeCell ref="A1:E1"/>
    <mergeCell ref="A2:E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I16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2" width="18" customWidth="1"/>
    <col min="3" max="3" width="28" customWidth="1"/>
    <col min="4" max="4" width="44" customWidth="1"/>
    <col min="5" max="5" width="14" customWidth="1"/>
    <col min="6" max="6" width="28" customWidth="1"/>
    <col min="7" max="7" width="36" customWidth="1"/>
    <col min="8" max="8" width="48" customWidth="1"/>
    <col min="9" max="9" width="12" customWidth="1"/>
  </cols>
  <sheetData>
    <row r="1" ht="26" customHeight="1" spans="1:9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</row>
    <row r="2" ht="40" customHeight="1" spans="1:9" x14ac:dyDescent="0.25">
      <c r="A2" s="2" t="s">
        <v>127</v>
      </c>
      <c r="B2" s="2"/>
      <c r="C2" s="2"/>
      <c r="D2" s="2"/>
      <c r="E2" s="2"/>
      <c r="F2" s="2"/>
      <c r="G2" s="2"/>
      <c r="H2" s="2"/>
      <c r="I2" s="2"/>
    </row>
    <row r="4" ht="28" customHeight="1" spans="1:9" s="3" customFormat="1" x14ac:dyDescent="0.25">
      <c r="A4" s="3" t="s">
        <v>128</v>
      </c>
      <c r="B4" s="3" t="s">
        <v>129</v>
      </c>
      <c r="C4" s="3" t="s">
        <v>130</v>
      </c>
      <c r="D4" s="3" t="s">
        <v>131</v>
      </c>
      <c r="E4" s="3" t="s">
        <v>132</v>
      </c>
      <c r="F4" s="3" t="s">
        <v>133</v>
      </c>
      <c r="G4" s="3" t="s">
        <v>134</v>
      </c>
      <c r="H4" s="3" t="s">
        <v>135</v>
      </c>
      <c r="I4" s="3" t="s">
        <v>136</v>
      </c>
    </row>
    <row r="5" ht="78" customHeight="1" spans="2:9" x14ac:dyDescent="0.25">
      <c r="B5" s="4" t="s">
        <v>4</v>
      </c>
      <c r="C5" s="4" t="s">
        <v>137</v>
      </c>
      <c r="D5" s="15" t="s">
        <v>138</v>
      </c>
      <c r="E5" s="16">
        <v>351.78</v>
      </c>
      <c r="F5" s="4" t="s">
        <v>139</v>
      </c>
      <c r="G5" s="4" t="s">
        <v>140</v>
      </c>
      <c r="H5" s="4" t="s">
        <v>141</v>
      </c>
      <c r="I5" s="4">
        <v>1</v>
      </c>
    </row>
    <row r="6" ht="78" customHeight="1" spans="2:9" x14ac:dyDescent="0.25">
      <c r="B6" s="4" t="s">
        <v>142</v>
      </c>
      <c r="C6" s="4" t="s">
        <v>143</v>
      </c>
      <c r="D6" s="15" t="s">
        <v>144</v>
      </c>
      <c r="E6" s="16">
        <v>35</v>
      </c>
      <c r="F6" s="4" t="s">
        <v>145</v>
      </c>
      <c r="G6" s="4" t="s">
        <v>146</v>
      </c>
      <c r="H6" s="4" t="s">
        <v>147</v>
      </c>
      <c r="I6" s="4">
        <v>4</v>
      </c>
    </row>
    <row r="7" ht="78" customHeight="1" spans="2:9" x14ac:dyDescent="0.25">
      <c r="B7" s="5" t="s">
        <v>148</v>
      </c>
      <c r="C7" s="5" t="s">
        <v>149</v>
      </c>
      <c r="D7" s="17" t="s">
        <v>150</v>
      </c>
      <c r="E7" s="18">
        <v>16.81</v>
      </c>
      <c r="F7" s="5" t="s">
        <v>151</v>
      </c>
      <c r="G7" s="5" t="s">
        <v>152</v>
      </c>
      <c r="H7" s="5" t="s">
        <v>153</v>
      </c>
      <c r="I7" s="5">
        <v>1</v>
      </c>
    </row>
    <row r="8" ht="78" customHeight="1" spans="2:9" x14ac:dyDescent="0.25">
      <c r="B8" s="5" t="s">
        <v>154</v>
      </c>
      <c r="C8" s="5" t="s">
        <v>155</v>
      </c>
      <c r="D8" s="17" t="s">
        <v>156</v>
      </c>
      <c r="E8" s="18">
        <v>299</v>
      </c>
      <c r="F8" s="5" t="s">
        <v>157</v>
      </c>
      <c r="G8" s="5" t="s">
        <v>158</v>
      </c>
      <c r="H8" s="5" t="s">
        <v>159</v>
      </c>
      <c r="I8" s="5">
        <v>1</v>
      </c>
    </row>
    <row r="9" ht="78" customHeight="1" spans="2:9" x14ac:dyDescent="0.25">
      <c r="B9" s="4" t="s">
        <v>160</v>
      </c>
      <c r="C9" s="4" t="s">
        <v>161</v>
      </c>
      <c r="D9" s="15" t="s">
        <v>162</v>
      </c>
      <c r="E9" s="16">
        <v>108.18</v>
      </c>
      <c r="F9" s="4" t="s">
        <v>163</v>
      </c>
      <c r="G9" s="4" t="s">
        <v>164</v>
      </c>
      <c r="H9" s="4" t="s">
        <v>165</v>
      </c>
      <c r="I9" s="4">
        <v>1</v>
      </c>
    </row>
    <row r="10" ht="78" customHeight="1" spans="2:9" x14ac:dyDescent="0.25">
      <c r="B10" s="5" t="s">
        <v>166</v>
      </c>
      <c r="C10" s="5" t="s">
        <v>167</v>
      </c>
      <c r="D10" s="17" t="s">
        <v>168</v>
      </c>
      <c r="E10" s="18">
        <v>20.58</v>
      </c>
      <c r="F10" s="5" t="s">
        <v>169</v>
      </c>
      <c r="G10" s="5" t="s">
        <v>170</v>
      </c>
      <c r="H10" s="5" t="s">
        <v>171</v>
      </c>
      <c r="I10" s="5">
        <v>1</v>
      </c>
    </row>
    <row r="11" ht="78" customHeight="1" spans="2:9" x14ac:dyDescent="0.25">
      <c r="B11" s="5" t="s">
        <v>172</v>
      </c>
      <c r="C11" s="5" t="s">
        <v>173</v>
      </c>
      <c r="D11" s="17" t="s">
        <v>174</v>
      </c>
      <c r="E11" s="18">
        <v>290.89</v>
      </c>
      <c r="F11" s="5" t="s">
        <v>175</v>
      </c>
      <c r="G11" s="5" t="s">
        <v>176</v>
      </c>
      <c r="H11" s="5" t="s">
        <v>177</v>
      </c>
      <c r="I11" s="5">
        <v>0</v>
      </c>
    </row>
    <row r="12" ht="78" customHeight="1" spans="2:9" x14ac:dyDescent="0.25">
      <c r="B12" s="5" t="s">
        <v>178</v>
      </c>
      <c r="C12" s="5" t="s">
        <v>179</v>
      </c>
      <c r="D12" s="17" t="s">
        <v>180</v>
      </c>
      <c r="E12" s="18">
        <v>669.36</v>
      </c>
      <c r="F12" s="5" t="s">
        <v>181</v>
      </c>
      <c r="G12" s="5" t="s">
        <v>182</v>
      </c>
      <c r="H12" s="5" t="s">
        <v>183</v>
      </c>
      <c r="I12" s="5">
        <v>0</v>
      </c>
    </row>
    <row r="13" ht="78" customHeight="1" spans="2:9" x14ac:dyDescent="0.25">
      <c r="B13" s="5" t="s">
        <v>178</v>
      </c>
      <c r="C13" s="5" t="s">
        <v>184</v>
      </c>
      <c r="D13" s="17" t="s">
        <v>185</v>
      </c>
      <c r="E13" s="18">
        <v>818.34</v>
      </c>
      <c r="F13" s="5" t="s">
        <v>186</v>
      </c>
      <c r="G13" s="5" t="s">
        <v>182</v>
      </c>
      <c r="H13" s="5" t="s">
        <v>187</v>
      </c>
      <c r="I13" s="5">
        <v>0</v>
      </c>
    </row>
    <row r="14" ht="78" customHeight="1" spans="2:9" x14ac:dyDescent="0.25">
      <c r="B14" s="5" t="s">
        <v>188</v>
      </c>
      <c r="C14" s="5" t="s">
        <v>189</v>
      </c>
      <c r="D14" s="17" t="s">
        <v>190</v>
      </c>
      <c r="E14" s="18">
        <v>26.39</v>
      </c>
      <c r="F14" s="5" t="s">
        <v>191</v>
      </c>
      <c r="G14" s="5" t="s">
        <v>192</v>
      </c>
      <c r="H14" s="5" t="s">
        <v>193</v>
      </c>
      <c r="I14" s="5">
        <v>1</v>
      </c>
    </row>
    <row r="16" ht="40" customHeight="1" spans="1:9" x14ac:dyDescent="0.25">
      <c r="A16" s="2" t="s">
        <v>194</v>
      </c>
      <c r="B16" s="2"/>
      <c r="C16" s="2"/>
      <c r="D16" s="2"/>
      <c r="E16" s="2"/>
      <c r="F16" s="2"/>
      <c r="G16" s="2"/>
      <c r="H16" s="2"/>
      <c r="I16" s="2"/>
    </row>
  </sheetData>
  <mergeCells count="3">
    <mergeCell ref="A1:I1"/>
    <mergeCell ref="A2:I2"/>
    <mergeCell ref="A16:I16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</hyperlink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  <drawing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B2C2C"/>
    <pageSetUpPr fitToPage="1"/>
  </sheetPr>
  <dimension ref="A1:D9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52" customWidth="1"/>
    <col min="2" max="2" width="16" customWidth="1"/>
    <col min="3" max="3" width="62" customWidth="1"/>
    <col min="4" max="4" width="42" customWidth="1"/>
  </cols>
  <sheetData>
    <row r="1" ht="26" customHeight="1" spans="1:4" x14ac:dyDescent="0.25">
      <c r="A1" s="1" t="s">
        <v>195</v>
      </c>
      <c r="B1" s="1"/>
      <c r="C1" s="1"/>
      <c r="D1" s="1"/>
    </row>
    <row r="3" ht="28" customHeight="1" spans="1:4" s="3" customFormat="1" x14ac:dyDescent="0.25">
      <c r="A3" s="3" t="s">
        <v>131</v>
      </c>
      <c r="B3" s="3" t="s">
        <v>132</v>
      </c>
      <c r="C3" s="3" t="s">
        <v>196</v>
      </c>
      <c r="D3" s="3" t="s">
        <v>197</v>
      </c>
    </row>
    <row r="4" ht="36" customHeight="1" spans="1:4" x14ac:dyDescent="0.25">
      <c r="A4" s="6" t="s">
        <v>198</v>
      </c>
      <c r="B4" s="19">
        <v>49</v>
      </c>
      <c r="C4" s="6" t="s">
        <v>199</v>
      </c>
      <c r="D4" s="20" t="s">
        <v>200</v>
      </c>
    </row>
    <row r="5" ht="36" customHeight="1" spans="1:4" x14ac:dyDescent="0.25">
      <c r="A5" s="6" t="s">
        <v>201</v>
      </c>
      <c r="B5" s="19">
        <v>6.33</v>
      </c>
      <c r="C5" s="6" t="s">
        <v>202</v>
      </c>
      <c r="D5" s="20" t="s">
        <v>200</v>
      </c>
    </row>
    <row r="6" ht="36" customHeight="1" spans="1:4" x14ac:dyDescent="0.25">
      <c r="A6" s="6" t="s">
        <v>203</v>
      </c>
      <c r="B6" s="19">
        <v>8.56</v>
      </c>
      <c r="C6" s="6" t="s">
        <v>204</v>
      </c>
      <c r="D6" s="20" t="s">
        <v>200</v>
      </c>
    </row>
    <row r="7" ht="36" customHeight="1" spans="1:4" x14ac:dyDescent="0.25">
      <c r="A7" s="6" t="s">
        <v>205</v>
      </c>
      <c r="B7" s="19">
        <v>15.5</v>
      </c>
      <c r="C7" s="6" t="s">
        <v>206</v>
      </c>
      <c r="D7" s="20" t="s">
        <v>200</v>
      </c>
    </row>
    <row r="9" ht="48" customHeight="1" spans="1:4" x14ac:dyDescent="0.25">
      <c r="A9" s="2" t="s">
        <v>207</v>
      </c>
      <c r="B9" s="2"/>
      <c r="C9" s="2"/>
      <c r="D9" s="2"/>
    </row>
  </sheetData>
  <mergeCells count="2">
    <mergeCell ref="A1:D1"/>
    <mergeCell ref="A9:D9"/>
  </mergeCells>
  <hyperlinks>
    <hyperlink ref="D4" r:id="rId1"/>
    <hyperlink ref="D5" r:id="rId2"/>
    <hyperlink ref="D6" r:id="rId3"/>
    <hyperlink ref="D7" r:id="rId4"/>
  </hyperlink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B13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2" customWidth="1"/>
  </cols>
  <sheetData>
    <row r="1" ht="26" customHeight="1" spans="1:2" x14ac:dyDescent="0.25">
      <c r="A1" s="1" t="s">
        <v>208</v>
      </c>
      <c r="B1" s="1"/>
    </row>
    <row r="2" ht="32" customHeight="1" spans="1:2" x14ac:dyDescent="0.25">
      <c r="A2" s="2" t="s">
        <v>209</v>
      </c>
      <c r="B2" s="2"/>
    </row>
    <row r="4" ht="28" customHeight="1" spans="1:2" s="3" customFormat="1" x14ac:dyDescent="0.25">
      <c r="A4" s="3" t="s">
        <v>210</v>
      </c>
      <c r="B4" s="3" t="s">
        <v>211</v>
      </c>
    </row>
    <row r="5" ht="36" customHeight="1" spans="1:2" x14ac:dyDescent="0.25">
      <c r="A5" s="14" t="s">
        <v>212</v>
      </c>
      <c r="B5" s="7" t="s">
        <v>213</v>
      </c>
    </row>
    <row r="6" ht="36" customHeight="1" spans="1:2" x14ac:dyDescent="0.25">
      <c r="A6" s="21" t="s">
        <v>214</v>
      </c>
      <c r="B6" s="8" t="s">
        <v>215</v>
      </c>
    </row>
    <row r="7" ht="36" customHeight="1" spans="1:2" x14ac:dyDescent="0.25">
      <c r="A7" s="14" t="s">
        <v>216</v>
      </c>
      <c r="B7" s="7" t="s">
        <v>217</v>
      </c>
    </row>
    <row r="8" ht="52" customHeight="1" spans="1:2" x14ac:dyDescent="0.25">
      <c r="A8" s="21" t="s">
        <v>218</v>
      </c>
      <c r="B8" s="8" t="s">
        <v>219</v>
      </c>
    </row>
    <row r="9" ht="36" customHeight="1" spans="1:2" x14ac:dyDescent="0.25">
      <c r="A9" s="14" t="s">
        <v>220</v>
      </c>
      <c r="B9" s="7" t="s">
        <v>221</v>
      </c>
    </row>
    <row r="10" ht="36" customHeight="1" spans="1:2" x14ac:dyDescent="0.25">
      <c r="A10" s="21" t="s">
        <v>222</v>
      </c>
      <c r="B10" s="8" t="s">
        <v>223</v>
      </c>
    </row>
    <row r="11" ht="36" customHeight="1" spans="1:2" x14ac:dyDescent="0.25">
      <c r="A11" s="14" t="s">
        <v>224</v>
      </c>
      <c r="B11" s="7" t="s">
        <v>225</v>
      </c>
    </row>
    <row r="12" ht="36" customHeight="1" spans="1:2" x14ac:dyDescent="0.25">
      <c r="A12" s="21" t="s">
        <v>226</v>
      </c>
      <c r="B12" s="8" t="s">
        <v>227</v>
      </c>
    </row>
    <row r="13" ht="36" customHeight="1" spans="1:2" x14ac:dyDescent="0.25">
      <c r="A13" s="14" t="s">
        <v>228</v>
      </c>
      <c r="B13" s="7" t="s">
        <v>229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2" customWidth="1"/>
  </cols>
  <sheetData>
    <row r="1" ht="26" customHeight="1" spans="1:2" x14ac:dyDescent="0.25">
      <c r="A1" s="1" t="s">
        <v>230</v>
      </c>
      <c r="B1" s="1"/>
    </row>
    <row r="3" ht="28" customHeight="1" spans="1:2" s="3" customFormat="1" x14ac:dyDescent="0.25">
      <c r="A3" s="3" t="s">
        <v>68</v>
      </c>
      <c r="B3" s="3" t="s">
        <v>231</v>
      </c>
    </row>
    <row r="4" ht="40" customHeight="1" spans="1:2" x14ac:dyDescent="0.25">
      <c r="A4" s="14" t="s">
        <v>232</v>
      </c>
      <c r="B4" s="7" t="s">
        <v>233</v>
      </c>
    </row>
    <row r="5" ht="40" customHeight="1" spans="1:2" x14ac:dyDescent="0.25">
      <c r="A5" s="21" t="s">
        <v>234</v>
      </c>
      <c r="B5" s="8" t="s">
        <v>235</v>
      </c>
    </row>
    <row r="6" ht="40" customHeight="1" spans="1:2" x14ac:dyDescent="0.25">
      <c r="A6" s="14" t="s">
        <v>236</v>
      </c>
      <c r="B6" s="7" t="s">
        <v>237</v>
      </c>
    </row>
    <row r="7" ht="40" customHeight="1" spans="1:2" x14ac:dyDescent="0.25">
      <c r="A7" s="21" t="s">
        <v>238</v>
      </c>
      <c r="B7" s="8" t="s">
        <v>239</v>
      </c>
    </row>
    <row r="8" ht="40" customHeight="1" spans="1:2" x14ac:dyDescent="0.25">
      <c r="A8" s="14" t="s">
        <v>240</v>
      </c>
      <c r="B8" s="7" t="s">
        <v>241</v>
      </c>
    </row>
    <row r="9" ht="40" customHeight="1" spans="1:2" x14ac:dyDescent="0.25">
      <c r="A9" s="21" t="s">
        <v>242</v>
      </c>
      <c r="B9" s="8" t="s">
        <v>243</v>
      </c>
    </row>
    <row r="10" ht="40" customHeight="1" spans="1:2" x14ac:dyDescent="0.25">
      <c r="A10" s="14" t="s">
        <v>244</v>
      </c>
      <c r="B10" s="7" t="s">
        <v>245</v>
      </c>
    </row>
    <row r="11" ht="40" customHeight="1" spans="1:2" x14ac:dyDescent="0.25">
      <c r="A11" s="21" t="s">
        <v>246</v>
      </c>
      <c r="B11" s="8" t="s">
        <v>247</v>
      </c>
    </row>
    <row r="12" ht="40" customHeight="1" spans="1:2" x14ac:dyDescent="0.25">
      <c r="A12" s="14" t="s">
        <v>248</v>
      </c>
      <c r="B12" s="7" t="s">
        <v>249</v>
      </c>
    </row>
  </sheetData>
  <mergeCells count="1">
    <mergeCell ref="A1:B1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E15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62" customWidth="1"/>
    <col min="2" max="2" width="14" customWidth="1"/>
    <col min="3" max="3" width="12" customWidth="1"/>
    <col min="4" max="4" width="16" customWidth="1"/>
    <col min="5" max="5" width="52" customWidth="1"/>
  </cols>
  <sheetData>
    <row r="1" ht="26" customHeight="1" spans="1:5" x14ac:dyDescent="0.25">
      <c r="A1" s="1" t="s">
        <v>250</v>
      </c>
      <c r="B1" s="1"/>
      <c r="C1" s="1"/>
      <c r="D1" s="1"/>
      <c r="E1" s="1"/>
    </row>
    <row r="3" ht="28" customHeight="1" spans="1:5" s="3" customFormat="1" x14ac:dyDescent="0.25">
      <c r="A3" s="3" t="s">
        <v>251</v>
      </c>
      <c r="B3" s="3" t="s">
        <v>252</v>
      </c>
      <c r="C3" s="3" t="s">
        <v>253</v>
      </c>
      <c r="D3" s="3" t="s">
        <v>254</v>
      </c>
      <c r="E3" s="3" t="s">
        <v>255</v>
      </c>
    </row>
    <row r="4" ht="22" customHeight="1" spans="1:5" x14ac:dyDescent="0.25">
      <c r="A4" t="s">
        <v>256</v>
      </c>
      <c r="B4" s="22">
        <v>351.78</v>
      </c>
      <c r="C4">
        <v>1</v>
      </c>
      <c r="D4" s="22">
        <f>B4*C4</f>
      </c>
      <c r="E4" t="s">
        <v>257</v>
      </c>
    </row>
    <row r="5" ht="22" customHeight="1" spans="1:5" x14ac:dyDescent="0.25">
      <c r="A5" t="s">
        <v>258</v>
      </c>
      <c r="B5" s="22">
        <v>35</v>
      </c>
      <c r="C5">
        <v>4</v>
      </c>
      <c r="D5" s="22">
        <f>B5*C5</f>
      </c>
      <c r="E5" t="s">
        <v>259</v>
      </c>
    </row>
    <row r="6" ht="22" customHeight="1" spans="1:5" x14ac:dyDescent="0.25">
      <c r="A6" t="s">
        <v>260</v>
      </c>
      <c r="B6" s="22">
        <v>20</v>
      </c>
      <c r="C6">
        <v>2</v>
      </c>
      <c r="D6" s="22">
        <f>B6*C6</f>
      </c>
      <c r="E6" t="s">
        <v>261</v>
      </c>
    </row>
    <row r="7" ht="22" customHeight="1" spans="1:5" x14ac:dyDescent="0.25">
      <c r="A7" t="s">
        <v>262</v>
      </c>
      <c r="B7" s="22">
        <v>16.81</v>
      </c>
      <c r="C7">
        <v>1</v>
      </c>
      <c r="D7" s="22">
        <f>B7*C7</f>
      </c>
      <c r="E7" t="s">
        <v>263</v>
      </c>
    </row>
    <row r="8" ht="22" customHeight="1" spans="1:5" x14ac:dyDescent="0.25">
      <c r="A8" t="s">
        <v>264</v>
      </c>
      <c r="B8" s="22">
        <v>20.58</v>
      </c>
      <c r="C8">
        <v>1</v>
      </c>
      <c r="D8" s="22">
        <f>B8*C8</f>
      </c>
      <c r="E8" t="s">
        <v>265</v>
      </c>
    </row>
    <row r="9" ht="22" customHeight="1" spans="1:5" x14ac:dyDescent="0.25">
      <c r="A9" t="s">
        <v>266</v>
      </c>
      <c r="B9" s="22">
        <v>299</v>
      </c>
      <c r="C9">
        <v>1</v>
      </c>
      <c r="D9" s="22">
        <f>B9*C9</f>
      </c>
      <c r="E9" t="s">
        <v>267</v>
      </c>
    </row>
    <row r="10" ht="22" customHeight="1" spans="1:5" x14ac:dyDescent="0.25">
      <c r="A10" t="s">
        <v>268</v>
      </c>
      <c r="B10" s="22">
        <v>108.18</v>
      </c>
      <c r="C10">
        <v>1</v>
      </c>
      <c r="D10" s="22">
        <f>B10*C10</f>
      </c>
      <c r="E10" t="s">
        <v>269</v>
      </c>
    </row>
    <row r="11" ht="22" customHeight="1" spans="1:5" x14ac:dyDescent="0.25">
      <c r="A11" t="s">
        <v>270</v>
      </c>
      <c r="B11" s="22">
        <v>26.39</v>
      </c>
      <c r="C11">
        <v>1</v>
      </c>
      <c r="D11" s="22">
        <f>B11*C11</f>
      </c>
      <c r="E11" t="s">
        <v>271</v>
      </c>
    </row>
    <row r="12" ht="22" customHeight="1" spans="1:5" x14ac:dyDescent="0.25">
      <c r="A12" t="s">
        <v>272</v>
      </c>
      <c r="B12" s="22">
        <v>8</v>
      </c>
      <c r="C12">
        <v>2</v>
      </c>
      <c r="D12" s="22">
        <f>B12*C12</f>
      </c>
      <c r="E12" t="s">
        <v>273</v>
      </c>
    </row>
    <row r="13" spans="1:4" s="11" customFormat="1" x14ac:dyDescent="0.25">
      <c r="A13" s="23" t="s">
        <v>274</v>
      </c>
      <c r="D13" s="24">
        <f>SUM(D4:D12)</f>
      </c>
    </row>
    <row r="15" spans="1:5" x14ac:dyDescent="0.25">
      <c r="A15" s="2" t="s">
        <v>275</v>
      </c>
      <c r="B15" s="2"/>
      <c r="C15" s="2"/>
      <c r="D15" s="2"/>
      <c r="E15" s="2"/>
    </row>
  </sheetData>
  <mergeCells count="2">
    <mergeCell ref="A1:E1"/>
    <mergeCell ref="A15:E15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  <pageSetUpPr fitToPage="1"/>
  </sheetPr>
  <dimension ref="A1:B13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90" customWidth="1"/>
  </cols>
  <sheetData>
    <row r="1" ht="26" customHeight="1" spans="1:2" x14ac:dyDescent="0.25">
      <c r="A1" s="1" t="s">
        <v>276</v>
      </c>
      <c r="B1" s="1"/>
    </row>
    <row r="3" ht="28" customHeight="1" spans="1:2" s="3" customFormat="1" x14ac:dyDescent="0.25">
      <c r="A3" s="3" t="s">
        <v>277</v>
      </c>
      <c r="B3" s="3" t="s">
        <v>278</v>
      </c>
    </row>
    <row r="4" ht="36" customHeight="1" spans="1:2" x14ac:dyDescent="0.25">
      <c r="A4" s="25" t="s">
        <v>279</v>
      </c>
      <c r="B4" s="25" t="s">
        <v>280</v>
      </c>
    </row>
    <row r="5" ht="36" customHeight="1" spans="1:2" x14ac:dyDescent="0.25">
      <c r="A5" s="25" t="s">
        <v>281</v>
      </c>
      <c r="B5" s="25" t="s">
        <v>282</v>
      </c>
    </row>
    <row r="6" ht="36" customHeight="1" spans="1:2" x14ac:dyDescent="0.25">
      <c r="A6" s="25" t="s">
        <v>283</v>
      </c>
      <c r="B6" s="25" t="s">
        <v>284</v>
      </c>
    </row>
    <row r="7" ht="36" customHeight="1" spans="1:2" x14ac:dyDescent="0.25">
      <c r="A7" s="25" t="s">
        <v>285</v>
      </c>
      <c r="B7" s="25" t="s">
        <v>286</v>
      </c>
    </row>
    <row r="8" ht="36" customHeight="1" spans="1:2" x14ac:dyDescent="0.25">
      <c r="A8" s="25" t="s">
        <v>287</v>
      </c>
      <c r="B8" s="25" t="s">
        <v>288</v>
      </c>
    </row>
    <row r="9" ht="36" customHeight="1" spans="1:2" x14ac:dyDescent="0.25">
      <c r="A9" s="25" t="s">
        <v>289</v>
      </c>
      <c r="B9" s="25" t="s">
        <v>290</v>
      </c>
    </row>
    <row r="10" ht="36" customHeight="1" spans="1:2" x14ac:dyDescent="0.25">
      <c r="A10" s="25" t="s">
        <v>291</v>
      </c>
      <c r="B10" s="25" t="s">
        <v>292</v>
      </c>
    </row>
    <row r="11" ht="36" customHeight="1" spans="1:2" x14ac:dyDescent="0.25">
      <c r="A11" s="25" t="s">
        <v>293</v>
      </c>
      <c r="B11" s="25" t="s">
        <v>294</v>
      </c>
    </row>
    <row r="13" ht="32" customHeight="1" spans="1:2" x14ac:dyDescent="0.25">
      <c r="A13" s="2" t="s">
        <v>295</v>
      </c>
      <c r="B13" s="2"/>
    </row>
  </sheetData>
  <mergeCells count="2">
    <mergeCell ref="A1:B1"/>
    <mergeCell ref="A13:B13"/>
  </mergeCells>
  <printOptions horizontalCentered="1"/>
  <pageSetup paperSize="9" orientation="landscape" fitToWidth="1" fitToHeight="0"/>
  <headerFooter>
    <oddFooter>LED Warehouse · проход пачки через рамку · Израиль 915–917 МГц · 8 октября 2026 · не юридическое заключение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С чего начать</vt:lpstr>
      <vt:lpstr>Проход тележки</vt:lpstr>
      <vt:lpstr>Частоты и мощность</vt:lpstr>
      <vt:lpstr>Растаможка</vt:lpstr>
      <vt:lpstr>Сравнение</vt:lpstr>
      <vt:lpstr>Каталог AliExpress</vt:lpstr>
      <vt:lpstr>Не покупать</vt:lpstr>
      <vt:lpstr>Интеграция API</vt:lpstr>
      <vt:lpstr>Что ещё учесть</vt:lpstr>
      <vt:lpstr>Смета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LED Warehouse</dc:creator>
  <dc:title>Рамка для прохода пачки груза, Израиль</dc:title>
  <dc:subject/>
  <dc:description/>
  <cp:keywords/>
  <cp:category/>
  <cp:lastModifiedBy>Unknown</cp:lastModifiedBy>
  <dcterms:created xsi:type="dcterms:W3CDTF">2026-10-08T16:30:00Z</dcterms:created>
  <dcterms:modified xsi:type="dcterms:W3CDTF">2026-10-08T16:58:10Z</dcterms:modified>
</cp:coreProperties>
</file>