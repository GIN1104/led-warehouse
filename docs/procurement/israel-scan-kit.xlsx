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 чего начать" state="visible" r:id="rId4"/>
    <sheet sheetId="2" name="Что на GitHub" state="visible" r:id="rId5"/>
    <sheet sheetId="3" name="Проход кейса" state="visible" r:id="rId6"/>
    <sheet sheetId="4" name="Частоты и мощность" state="visible" r:id="rId7"/>
    <sheet sheetId="5" name="Растаможка" state="visible" r:id="rId8"/>
    <sheet sheetId="6" name="Сравнение" state="visible" r:id="rId9"/>
    <sheet sheetId="7" name="Каталог AliExpress" state="visible" r:id="rId10"/>
    <sheet sheetId="8" name="Не покупать" state="visible" r:id="rId11"/>
    <sheet sheetId="9" name="Интеграция API" state="visible" r:id="rId12"/>
    <sheet sheetId="10" name="Что ещё учесть" state="visible" r:id="rId13"/>
    <sheet sheetId="11" name="Смета" state="visible" r:id="rId14"/>
    <sheet sheetId="12" name="Источники" state="visible" r:id="rId15"/>
  </sheets>
  <calcPr calcId="171027"/>
</workbook>
</file>

<file path=xl/sharedStrings.xml><?xml version="1.0" encoding="utf-8"?>
<sst xmlns="http://schemas.openxmlformats.org/spreadsheetml/2006/main" count="404" uniqueCount="386">
  <si>
    <t>Одна дверь 2 м сейчас. Бирка на каждом кубике. Кабели и двери 2–3 позже</t>
  </si>
  <si>
    <t>Кейс на 6–8 алюминиевых кубиков проходит через проём около 2 м и должен вернуться обратно. Считать кубики штрихкодом на ходу нельзя. Рамка: ридер Impinj E710 на четыре антенны, два инфракрасных луча, полоса Израиля 915–917 МГц, потолок 2 Вт EIRP. Ридер стоит рядом с компьютером склада. На этом же компьютере уже крутится учёт, и здесь же живёт короткая программа-мост.</t>
  </si>
  <si>
    <t>Что зафиксировали</t>
  </si>
  <si>
    <t>Как из этого собран комплект</t>
  </si>
  <si>
    <t>Проём и двери</t>
  </si>
  <si>
    <t>Ширина около 2 м. Сейчас одна дверь. Двери 2 и 3 потом копируют ридер, четыре антенны и два луча. Компьютер и адрес склада остаются те же, у каждой двери свой deviceId.</t>
  </si>
  <si>
    <t>Каждый кубик</t>
  </si>
  <si>
    <t>Бирка клеится на внешний торец каждого кабинета, одним и тем же боком в проём. Кейс человек подписывает маркером. Радиобирку на кейс клеим только если закрытый алюминий глушит кубики, и код у неё CASE-FC, не код кубика.</t>
  </si>
  <si>
    <t>500–1000 кейсов</t>
  </si>
  <si>
    <t>6–8 кубиков в кейсе и запас 10% дают 3 300–8 800 бирок. Сначала лот 20 штук и проба. Парк заказываем тем типом, который прошёл пробу. Мелкие кабели в первой волне без бирок: ссылки и цены уже лежат в каталоге, количество ноль.</t>
  </si>
  <si>
    <t>Рядом с компьютером</t>
  </si>
  <si>
    <t>Первая дверь — короткий Ethernet или USB в этот компьютер. Так программа одна и та же, когда появятся двери 2 и 3 по Ethernet. Wi-Fi у металлических створок не используем.</t>
  </si>
  <si>
    <t>Ввозим сами</t>
  </si>
  <si>
    <t>Оплата ридера после двух вещей от продавца: скрин четырёх частот 915,25 / 915,75 / 916,25 / 916,75 МГц и архив SDK с примером чтения. Включаем передатчик после письма в Министерство связи. Пассивные бирки и антенны передатчиками не являются.</t>
  </si>
  <si>
    <t>Главная проба, до заказа тысяч бирок. Восемь бирок на внешние торцы, открытый кейс через проём при 26 дБм: цель 8 из 8. Затем тот же кейс закрыть и пронести ещё раз. Если закрытый алюминий ответил меньше чем восемью, кубики читаем на столе, пока кейс открыт, а дверь только подтверждает, что кейс выехал. Обещать чтение кубиков внутри закрытого кейса нельзя: алюминий для UHF как клетка.</t>
  </si>
  <si>
    <t>Что покупать сейчас</t>
  </si>
  <si>
    <t>Зачем</t>
  </si>
  <si>
    <t>Мозг рамки</t>
  </si>
  <si>
    <t>CHAFON CF815, 4 порта, Impinj E710, USB, RS232, TCP и GPIO. Один на первую дверь. Официальный лист частот у этой модели — США 902–928 или Европа 865–868, поэтому без скрина четырёх израильских каналов не оплачиваем.</t>
  </si>
  <si>
    <t>Четыре антенны</t>
  </si>
  <si>
    <t>Круговая поляризация, 9 дБи, 860–960 МГц. По две на каждой стойке проёма 2 м, примерно 0,7 м и 1,6 м. Луч смотрит в проём.</t>
  </si>
  <si>
    <t>Два луча</t>
  </si>
  <si>
    <t>Две пары фотодатчиков по ходу. Сначала луч у склада, потом луч у двора — выход. Обратный порядок — возврат. На странице CF815 есть GPIO, распиновку берём из инструкции SDK.</t>
  </si>
  <si>
    <t>Проба бирок</t>
  </si>
  <si>
    <t>Один лот ABS на металл, 20 штук, и рядом лот PCB, 20 штук. Победитель пробы на открытом и закрытом кейсе идёт на парк 3 300–8 800 штук.</t>
  </si>
  <si>
    <t>Запись бирок</t>
  </si>
  <si>
    <t>Тот же CF815 на столе у компьютера пишет код в бирку, пока она ещё не наклеена. Ручной UHF нужен у двери, чтобы добить пропуск, и только если продавец запер те же четыре канала.</t>
  </si>
  <si>
    <t>Кабели позже</t>
  </si>
  <si>
    <t>Три карточки хомутов UHF уже с ценой и ссылкой. В корзину первой волны их не кладём.</t>
  </si>
  <si>
    <t>Текст продавцу до оплаты: «Set the hop table to 915.25, 915.75, 916.25 and 916.75 MHz only. Max conducted power 26 dBm with 9 dBi antennas, so EIRP stays at 2 W. Send a screenshot of that screen and the SDK archive with a read example (C# or Java). Do not ship a fixed EU 865–868 MHz unit or a full FCC 902–928 MHz hop.» Ответ «global 860–960» без скрина — это не настройка.</t>
  </si>
  <si>
    <t>Что уже залито на GitHub, сверка 10 октября 2026</t>
  </si>
  <si>
    <t>Сайт публикуется только из ветки main. Этот файл сметы в main не влит: он лежит в черновике запроса №3, ветка cursor/israel-scan-kit-cc23. Календарь Google на сайте есть с 9 октября 2026. Приём прохода рамки на сайте нет: для него нужен компьютер склада с сервером.</t>
  </si>
  <si>
    <t>Куда залито</t>
  </si>
  <si>
    <t>Что там сейчас</t>
  </si>
  <si>
    <t>Сайт склада</t>
  </si>
  <si>
    <t>https://gin1104.github.io/led-warehouse/ — номенклатура, остатки, заказы, меню, русский, английский и иврит. У каждого браузера своя копия в IndexedDB. Общий файл склада этот адрес не хранит.</t>
  </si>
  <si>
    <t>Календарь</t>
  </si>
  <si>
    <t>https://gin1104.github.io/led-warehouse/calendar/ — месяц, заказы склада и кнопка «Подключить Google». Аккаунт проекта ledvision2026.il@gmail.com. Это занятость экранов, не чтение бирок в проёме.</t>
  </si>
  <si>
    <t>Публикация</t>
  </si>
  <si>
    <t>Последняя успешная выкладка Pages — 9 октября 2026, после вливания календаря в main. Ветка сметы на Pages не публикуется.</t>
  </si>
  <si>
    <t>Сервер склада</t>
  </si>
  <si>
    <t>Код приёма рамки уже в main: POST /api/v1/integrations/scan/events/ и POST /api/v1/integrations/mapper/orders/. Он оживает на компьютере у двери: npm run dev или docker compose, файл data/warehouse.sqlite.</t>
  </si>
  <si>
    <t>Этот Excel</t>
  </si>
  <si>
    <t>Скачивание: https://github.com/GIN1104/led-warehouse/raw/cursor/israel-scan-kit-cc23/docs/procurement/israel-scan-kit.xlsx. Запрос: https://github.com/GIN1104/led-warehouse/pull/3. На сайт склада файл не выложен.</t>
  </si>
  <si>
    <t>Как 6–8 кубиков проходят проём 2 м и возвращаются</t>
  </si>
  <si>
    <t>Беспроводная здесь связь бирки с антенной. Ридер стоит в метре от компьютера склада и связан с ним коротким Ethernet или USB. Учёт на этом компьютере принимает пачку событий.</t>
  </si>
  <si>
    <t>Шаг</t>
  </si>
  <si>
    <t>Что происходит</t>
  </si>
  <si>
    <t>Проём 2 м</t>
  </si>
  <si>
    <t>Левая и правая стойка, нижняя антенна около 0,7 м, верхняя около 1,6 м. Так луч видит и один кубик, и стопку высотой с кейс. Вдоль стеллажа антенны не смотрят.</t>
  </si>
  <si>
    <t>Мощность</t>
  </si>
  <si>
    <t>Антенна 9 дБи и кабель около 2 дБ потерь: с разъёма ридера около 26 дБм. Вместе это около 2 Вт EIRP. Полные 33 дБм с той же антенной — около 10 Вт, мимо правила Израиля.</t>
  </si>
  <si>
    <t>Открытый кейс</t>
  </si>
  <si>
    <t>Бирка на внешнем торце кубика, плоскостью в проём, читается с 1–3 м при законной мощности, если торец не спрятан между двумя алюминиевыми стенками. Цель пробы: 8 из 8.</t>
  </si>
  <si>
    <t>Закрытый кейс</t>
  </si>
  <si>
    <t>Шесть–восемь кубиков внутри закрытого алюминиевого кейса рамка может не увидеть вообще. Это не поломка ридера. Проба одна: закрыть кейс и пронести. Число ответивших бирок записываем. Если меньше восьми, дверь кубики внутри кейса не обещает.</t>
  </si>
  <si>
    <t>Если кейс глушит</t>
  </si>
  <si>
    <t>Кубики читаем на столе упаковки, пока крышка открыта: каждое событие — артикул кубика и qty 1. Дверь потом шлёт одну бирку кейса с кодом CASE-FC, если кейс есть отдельной строкой заказа. Те же кубики дверь второй раз не шлёт.</t>
  </si>
  <si>
    <t>Направление</t>
  </si>
  <si>
    <t>Луч A ближе к складу, луч B ближе к двору. A, потом B — direction out. B, потом A — direction in. Чтение идёт, пока любой луч перекрыт, и ещё 300 мс после.</t>
  </si>
  <si>
    <t>Кабели</t>
  </si>
  <si>
    <t>Мелкие кабели в первой волне идут без бирок, по накладной. Когда дойдём до хомутов, одна бирка на кабель, который является строкой склада, не на каждый короткий хвост в мешке. Клубок из десятков хвостов дверь поштучно не разберёт.</t>
  </si>
  <si>
    <t>Пропуск и возврат</t>
  </si>
  <si>
    <t>Экран у двери: сколько бирок этого выхода прочитано. Непрочитанные добивает ручной UHF, пока кейс ещё у двери. Один проход — одна сессия. Возврат через час — новая сессия и direction in.</t>
  </si>
  <si>
    <t>Полоса Израиля и потолок 2 Вт вместе с антенной</t>
  </si>
  <si>
    <t>GS1 «UHF allocations for RFID»: Израиль 915–917 МГц, 2 Вт EIRP, регламент 27.08.2012. ITU-R SM.2255 пишет уже: 915–916,8 МГц. Чип E710 физически умеет 860–930 МГц. Лист CF815 при этом называет две заводские полосы: США 902–928 МГц и Европа 865–868 МГц. Перед включением — ответ משרד התקשורת, requests@moc.gov.il, 03-5198282.</t>
  </si>
  <si>
    <t>Диапазон</t>
  </si>
  <si>
    <t>Для этой рамки</t>
  </si>
  <si>
    <t>Почему</t>
  </si>
  <si>
    <t>915,25 / 915,75 / 916,25 / 916,75 МГц</t>
  </si>
  <si>
    <t>Единственный рабочий набор</t>
  </si>
  <si>
    <t>Четыре канала сетки 500 кГц внутри 915–917 МГц. Этот список просим зафиксировать и прислать скрином до оплаты.</t>
  </si>
  <si>
    <t>902–928 МГц, строка USA в листе CF815</t>
  </si>
  <si>
    <t>Так с завода часто и едет</t>
  </si>
  <si>
    <t>Полный американский хоп задевает частоты ниже 915 и выше 917. Наклейка FCC разрешение Израиля не заменяет.</t>
  </si>
  <si>
    <t>865–868 МГц, строка EU в листе CF815</t>
  </si>
  <si>
    <t>Не полоса Израиля</t>
  </si>
  <si>
    <t>Европейский экземпляр передаёт в другом месте, даже если он тише.</t>
  </si>
  <si>
    <t>920–925 МГц</t>
  </si>
  <si>
    <t>Не включать</t>
  </si>
  <si>
    <t>Китайская полоса выше 917 МГц.</t>
  </si>
  <si>
    <t>2 Вт EIRP</t>
  </si>
  <si>
    <t>Потолок с учётом антенны</t>
  </si>
  <si>
    <t>2 Вт — это 33 дБм на выходе антенны, не 33 дБм на разъёме. С антенной 9 дБи на разъёме оставляем около 26 дБм.</t>
  </si>
  <si>
    <t>2400–2483,5 МГц, до 100 мВт</t>
  </si>
  <si>
    <t>Только запасной штрихкод</t>
  </si>
  <si>
    <t>Строка 49 правил одобрения 2021 года, ETSI EN 300 328. Пачку в проёме это не читает.</t>
  </si>
  <si>
    <t>Калькулятор ниже. Меняйте три жёлтые клетки. Зелёная сумма не должна быть выше 33 дБм. Это оценка для разговора с продавцом, не измерение лаборатории.</t>
  </si>
  <si>
    <t>Мощность с разъёма ридера, дБм</t>
  </si>
  <si>
    <t>Усиление антенны, дБи</t>
  </si>
  <si>
    <t>Потери кабеля, дБ</t>
  </si>
  <si>
    <t>EIRP, дБм</t>
  </si>
  <si>
    <t>Это выше 2 Вт?</t>
  </si>
  <si>
    <t>Ввозим сами. Реалистичный порядок, без обещания, что передатчик выпустят сразу</t>
  </si>
  <si>
    <t>НДС в 2026 году — 18%. С 2 июня 2026 личный порог снова 75 USD по цене товара, без доставки (ICL Global). Рамка для проката — коммерческий ввоз: порог к ней не применяем и посылки ради порога не дробим. Выше 500 USD у личной посылки обычно появляется пошлина. Ставку по коду товара называет таможня, 12% в калькуляторе — только пример. Типовое одобрение радио выдаётся израильскому импортёру: при самостоятельном завозе этим импортёром становитесь вы.</t>
  </si>
  <si>
    <t>Что делаем сами</t>
  </si>
  <si>
    <t>1. Скрин до оплаты</t>
  </si>
  <si>
    <t>Продавец показывает экран, где хоп стоит только на четырёх каналах 915,25–916,75 МГц, и отдаёт SDK. Экземпляр с заводской полосой USA или EU в корзину не кладём.</t>
  </si>
  <si>
    <t>2. Письмо в министерство</t>
  </si>
  <si>
    <t>До первого включения: requests@moc.gov.il, 03-5198282. В письме модель, четыре частоты, 2 Вт EIRP с антенной 9 дБи, склад в Израиле. CE и FCC на коробке это письмо не заменяют.</t>
  </si>
  <si>
    <t>3. Декларация</t>
  </si>
  <si>
    <t>Коммерческий ввоз, код товара, НДС 18%. У עוסק מורשה НДС с импорта обычно идёт к зачёту. Ридер, антенна и бирки могут попасть в разные коды. Брокер называет ставку, калькулятор ниже её не знает.</t>
  </si>
  <si>
    <t>4. Что могут задержать</t>
  </si>
  <si>
    <t>Задерживают передатчик, то есть ридер и ручной UHF. Пассивные бирки и антенны передатчиками не являются, их обычно выпускают проще. Это наблюдение с рынка, не гарантия таможни.</t>
  </si>
  <si>
    <t>5. Розетка</t>
  </si>
  <si>
    <t>230 В, 50 Гц, вилка типа H. Блок с AliExpress часто американский или европейский. Нужен переходник или местный блок 100–240 В.</t>
  </si>
  <si>
    <t>6. Когда ставить в график</t>
  </si>
  <si>
    <t>После выпуска посылки, скрина частот на уже полученном приборе и пробы восьми кубиков в открытом и закрытом кейсе. До этого выезд на рамку не опирается.</t>
  </si>
  <si>
    <t>Цена товара одной двери, USD</t>
  </si>
  <si>
    <t>Доставка, USD, оценка</t>
  </si>
  <si>
    <t>Ставка пошлины в примере, если товар &gt; 500 USD</t>
  </si>
  <si>
    <t>Пошлина по личной шкале, USD</t>
  </si>
  <si>
    <t>НДС 18%, если товар &gt; 75 USD</t>
  </si>
  <si>
    <t>Иллюстрация личной шкалы, USD</t>
  </si>
  <si>
    <t>Жёлтые клетки — доставка и пример ставки. Цена товара подтягивается из сметы одной двери. Комплект двери выше 500 USD, поэтому пример 12% в иллюстрации включается. К коммерческому ввозу эта личная шкала не применяется: её здесь видно, чтобы не спутать с порогом 75 USD.</t>
  </si>
  <si>
    <t>Что читает кубики в проёме 2 м</t>
  </si>
  <si>
    <t>Сравнение под задачу «каждый кубик, на расстоянии, туда и обратно, кейсы по 6–8 штук». Штрихкод и HF 13,56 МГц эту задачу не закрывают.</t>
  </si>
  <si>
    <t/>
  </si>
  <si>
    <t>UHF-рамка, 4 антенны и 2 луча</t>
  </si>
  <si>
    <t>Ручной UHF 915–917</t>
  </si>
  <si>
    <t>Штрихкод Bluetooth</t>
  </si>
  <si>
    <t>HF 13,56 МГц</t>
  </si>
  <si>
    <t>Кубики на проходе</t>
  </si>
  <si>
    <t>Да, если торцы смотрят в проём и кейс открыт. Закрытый кейс — только после пробы</t>
  </si>
  <si>
    <t>Человек ведёт луч по торцам</t>
  </si>
  <si>
    <t>По одной вещи у сканера</t>
  </si>
  <si>
    <t>Касание каждой бирки</t>
  </si>
  <si>
    <t>Обратный проход</t>
  </si>
  <si>
    <t>Второй луч ставит direction in</t>
  </si>
  <si>
    <t>Человек выбирает «возврат»</t>
  </si>
  <si>
    <t>Тоже руками</t>
  </si>
  <si>
    <t>Руками</t>
  </si>
  <si>
    <t>Алюминиевый кубик</t>
  </si>
  <si>
    <t>On-metal бирка на внешнем торце</t>
  </si>
  <si>
    <t>Та же бирка, с 1–3 м</t>
  </si>
  <si>
    <t>Этикетка на торец, в упор</t>
  </si>
  <si>
    <t>На металле молчит</t>
  </si>
  <si>
    <t>Может заглушить все 6–8 бирок. Тогда читаем на столе</t>
  </si>
  <si>
    <t>Крышку всё равно открывают</t>
  </si>
  <si>
    <t>Крышку открывают</t>
  </si>
  <si>
    <t>Не читает металл</t>
  </si>
  <si>
    <t>Мелкий кабель</t>
  </si>
  <si>
    <t>В первой волне без бирки. Потом хомут на строку склада</t>
  </si>
  <si>
    <t>Тот же хомут, когда дойдём</t>
  </si>
  <si>
    <t>Флажок, если бирки нет</t>
  </si>
  <si>
    <t>Не подходит</t>
  </si>
  <si>
    <t>Закон Израиля</t>
  </si>
  <si>
    <t>Только 915–917 и не выше 2 Вт EIRP</t>
  </si>
  <si>
    <t>Та же полоса</t>
  </si>
  <si>
    <t>Bluetooth до 100 мВт</t>
  </si>
  <si>
    <t>Не рамка</t>
  </si>
  <si>
    <t>Связь со складом</t>
  </si>
  <si>
    <t>SDK ридера на этом компьютере шлёт пачку JSON</t>
  </si>
  <si>
    <t>Приложение терминала шлёт пачку</t>
  </si>
  <si>
    <t>По одному коду</t>
  </si>
  <si>
    <t>Не закладываем</t>
  </si>
  <si>
    <t>Деньги</t>
  </si>
  <si>
    <t>Одна дверь сейчас. Двери 2–3 копируют ридер и антенны</t>
  </si>
  <si>
    <t>Один терминал рамку не заменяет</t>
  </si>
  <si>
    <t>Дёшево и мимо задачи</t>
  </si>
  <si>
    <t>Не покупаем</t>
  </si>
  <si>
    <t>Карточки, 8 октября 2026. Хомуты на кабель — с ценой, количество ноль</t>
  </si>
  <si>
    <t>Зелёное ставим на первую дверь. Жёлтое — проба или добивка пропусков. Голубое — кабели позже, в корзину сейчас не кладём. Серое по смыслу «шт = 0» — замена, а не добавка. Цены хомутов сняты с витрины поиска AliExpress в этот день (поле sale). На карточке цифра другая, если купон кончился: рядом указана цена без скидки. Антенна в смете — оценка.</t>
  </si>
  <si>
    <t>Фото</t>
  </si>
  <si>
    <t>Роль</t>
  </si>
  <si>
    <t>Карточка</t>
  </si>
  <si>
    <t>USD</t>
  </si>
  <si>
    <t>Частота</t>
  </si>
  <si>
    <t>Вердикт</t>
  </si>
  <si>
    <t>Как ставить</t>
  </si>
  <si>
    <t>Шт</t>
  </si>
  <si>
    <t>4 порта, рядом с компьютером</t>
  </si>
  <si>
    <t>CHAFON CF815, Impinj E710, USB/RS232/TCP, GPIO, SDK</t>
  </si>
  <si>
    <t>Заводской лист: USA 902–928 или EU 865–868. Хоп сужаем</t>
  </si>
  <si>
    <t>Берём один после скрина</t>
  </si>
  <si>
    <t>Порты на две стойки проёма 2 м. Мощность около 26 дБм. Короткий Ethernet или USB в компьютер склада. Вилка блока может быть не типа H.</t>
  </si>
  <si>
    <t>Поле рамки</t>
  </si>
  <si>
    <t>Круговая антенна в проём</t>
  </si>
  <si>
    <t>9 дБи, 860–960 МГц, круговая поляризация</t>
  </si>
  <si>
    <t>Частоту задаёт ридер</t>
  </si>
  <si>
    <t>4 штуки, цену сверить</t>
  </si>
  <si>
    <t>Оценка 35 USD за штуку. Кабель короткий, потери около 2 дБ уже сидят в калькуляторе. Луч в проём.</t>
  </si>
  <si>
    <t>Проба кубика</t>
  </si>
  <si>
    <t>Читается на алюминии</t>
  </si>
  <si>
    <t>ABS anti-metal, ISO 18000-6C, 860–960, U8/U9/H3, лот 20 шт</t>
  </si>
  <si>
    <t>На 915 МГц живая</t>
  </si>
  <si>
    <t>Один лот на пробу</t>
  </si>
  <si>
    <t>20 штук на реальные кубики. Победителя этой пробы и пробы закрытого кейса заказываем на 3 300–8 800 штук. Бумажный инлей на торец не клеить.</t>
  </si>
  <si>
    <t>Вторая проба</t>
  </si>
  <si>
    <t>Если ABS отвалится от жары</t>
  </si>
  <si>
    <t>PCB anti-metal, 20 шт</t>
  </si>
  <si>
    <t>860–960 МГц</t>
  </si>
  <si>
    <t>Рядом с ABS</t>
  </si>
  <si>
    <t>Один кубик, две бирки, законная мощность. Какая стабильнее в открытом и закрытом кейсе, ту и размножать.</t>
  </si>
  <si>
    <t>Пропуски у двери</t>
  </si>
  <si>
    <t>Добить то, что рамка не увидела</t>
  </si>
  <si>
    <t>Android PDA, UHF и штрихкод</t>
  </si>
  <si>
    <t>Те же 4 канала, иначе не брать</t>
  </si>
  <si>
    <t>Один, после скрина</t>
  </si>
  <si>
    <t>Запись тысяч бирок делаем настольным CF815, не этим терминалом: 3 300–8 800 записей с рук займут много дней. Терминал — список непрочитанных у двери.</t>
  </si>
  <si>
    <t>Надпись для человека</t>
  </si>
  <si>
    <t>Рядом с биркой читаемый код</t>
  </si>
  <si>
    <t>Niimbot M2, термотрансфер, 20–50 мм</t>
  </si>
  <si>
    <t>Радио нет</t>
  </si>
  <si>
    <t>Берём</t>
  </si>
  <si>
    <t>На наклейке крупно артикул, например CAB-P39. Лента и полиэстер, не голая термобумага.</t>
  </si>
  <si>
    <t>Дыра без бирки</t>
  </si>
  <si>
    <t>Одна вещь, если бирку сорвали</t>
  </si>
  <si>
    <t>NETUM L8BL Pro, Bluetooth 2D</t>
  </si>
  <si>
    <t>2,4 ГГц, не UHF</t>
  </si>
  <si>
    <t>Один запасной</t>
  </si>
  <si>
    <t>Кейс из 6–8 кубиков через проём он не читает.</t>
  </si>
  <si>
    <t>Кабель позже</t>
  </si>
  <si>
    <t>Хомут с названным чипом</t>
  </si>
  <si>
    <t>Хомут UHF, 50 шт, ISO 18000-6C, чип NXP U8/U9/H3/H9/MR6P</t>
  </si>
  <si>
    <t>Сейчас 0 штук</t>
  </si>
  <si>
    <t>Самая низкая цена витрины из трёх: $23.66 за 50, это $0.47 за штуку. Без скидки на той же карточке $45.50. Продаж на витрине 20. Мелкие кабели пока без бирок.</t>
  </si>
  <si>
    <t>Многоразовый хомут на металл</t>
  </si>
  <si>
    <t>ABS cable tie, anti-metal, 50 шт, UHF</t>
  </si>
  <si>
    <t>$30.94 за 50, это $0.62 за штуку. Без скидки $34.38. Продаж 109, это самая живая карточка из трёх. Имеет смысл, если разъём кабеля сидит на металле.</t>
  </si>
  <si>
    <t>Хомут на жгут кабеля</t>
  </si>
  <si>
    <t>Одноразовый хомут 860–960, ISO 18000-6C, 50 шт</t>
  </si>
  <si>
    <t>860–960 МГц, протокол в заголовке</t>
  </si>
  <si>
    <t>$36.80 за 50, это $0.74 за штуку. Без скидки $66.91. Продаж 10. Форма ближе к жгуту, чем к бирке на торец кубика.</t>
  </si>
  <si>
    <t>Замена мозга</t>
  </si>
  <si>
    <t>Тот же чип без имени CHAFON</t>
  </si>
  <si>
    <t>Модуль E710, 4 порта, RS232 и TCP/IP</t>
  </si>
  <si>
    <t>860–960, полосу задаёт команда</t>
  </si>
  <si>
    <t>Не вместе с CF815</t>
  </si>
  <si>
    <t>Дешевле и больше возни с корпусом. SDK у CF815 известнее. Брать, только если CF815 не подтвердит 4 канала.</t>
  </si>
  <si>
    <t>Замена ручного</t>
  </si>
  <si>
    <t>Пистолет, если PDA мала</t>
  </si>
  <si>
    <t>Android UHF gun и 2D</t>
  </si>
  <si>
    <t>Та же проверка 915–917</t>
  </si>
  <si>
    <t>Не вместе с PDA</t>
  </si>
  <si>
    <t>Рамку не заменяет.</t>
  </si>
  <si>
    <t>Именной терминал</t>
  </si>
  <si>
    <t>Chainway C72, UHF, Zebra 2D</t>
  </si>
  <si>
    <t>Регион прошивки выбирается</t>
  </si>
  <si>
    <t>SDK известнее безымянной PDA. Частоту всё равно фиксировать.</t>
  </si>
  <si>
    <t>Две пары фотодатчиков E3F (луч на просвет, NPN, 10–30 В) ищутся по строке «E3F-10DN1 E3F-10L». Отдельной проверенной карточки в файл не кладу. На одну дверь — две пары. Опт хомутов вне AliExpress, в корзину не входит: rfidnfccard.com около $0.17 при заказе от 1000, twsetech.com $0.40–0.50 от 500, GoldSupplier $0.19–0.30 от 500. Это чужие витрины, не цена AliExpress.</t>
  </si>
  <si>
    <t>Что выглядит как рамка и для кубиков в проёме не годится</t>
  </si>
  <si>
    <t>Почему мимо</t>
  </si>
  <si>
    <t>Ссылка</t>
  </si>
  <si>
    <t>UHF writer, в заголовке 865–868 МГц</t>
  </si>
  <si>
    <t>Европейская полоса. В израильском проёме её не включаем.</t>
  </si>
  <si>
    <t>Открыть</t>
  </si>
  <si>
    <t>Антенна 433,92 МГц</t>
  </si>
  <si>
    <t>Пульт ворот. Бирки кубиков на этой частоте нет.</t>
  </si>
  <si>
    <t>Клонер 125 кГц</t>
  </si>
  <si>
    <t>Домофон. К проходу кейса не относится.</t>
  </si>
  <si>
    <t>Мокрый инлей 9662, 100 шт</t>
  </si>
  <si>
    <t>На картоне живёт, на алюминиевом торце кубика молчит.</t>
  </si>
  <si>
    <t>Туда же комплект с одной антенной и обещанием, что направление известно само. Направление дают два луча. Туда же ридер, который умеет только EU и полный FCC и не принимает список из четырёх каналов. Обещание 800–1100 бирок в секунду и 0–25 м — стенд даташита CF815, не закрытый кейс при 2 Вт EIRP. Туда же обещание прочитать каждый кубик внутри закрытого алюминиевого кейса без пробы.</t>
  </si>
  <si>
    <t>Удобный API: SDK ридера на этом компьютере и JSON склада</t>
  </si>
  <si>
    <t>Два разных языка, и это нормально. Ридер говорит протоколом CHAFON. Склад говорит JSON. Между ними одна программа на компьютере, который уже стоит рядом с дверью и уже держит базу. В прошивку ридера адрес склада не вшивается. На 10 октября 2026 сайт https://gin1104.github.io/led-warehouse/ показывает учёт в браузере и календарь Google. Пачку прохода туда отправить нельзя: её принимает сервер на этом компьютере, docker compose up или npm run dev, файл data/warehouse.sqlite.</t>
  </si>
  <si>
    <t>Место</t>
  </si>
  <si>
    <t>Как устроено</t>
  </si>
  <si>
    <t>SDK, который уже есть</t>
  </si>
  <si>
    <t>Страница CF815 пишет: demo, API, sample, инструкция, языки C#, Java (jni и linux), VC, Android. На chafon.com/download лежит архив CF-E710.714.718.71F SDK от 19.09.2025. Просим продавца прислать тот же архив до оплаты. Пример в архиве — это и есть удобный API ридера. Кадр протокола в этот файл не переписываю.</t>
  </si>
  <si>
    <t>Почему не Node внутри ридера</t>
  </si>
  <si>
    <t>Учёт склада на Node. SDK ридера — на C# и Java. Мост — маленькая программа на C# или Java из примера SDK: она читает EPC и GPIO и делает HTTP POST на http://127.0.0.1:3000. Разбирать двоичный кадр самим нужно только если продавец SDK не отдал.</t>
  </si>
  <si>
    <t>Куда шлёт мост</t>
  </si>
  <si>
    <t>POST http://127.0.0.1:3000/api/v1/integrations/scan/events/   слэш на конце нужен.</t>
  </si>
  <si>
    <t>Секрет</t>
  </si>
  <si>
    <t>Если задан SCAN_WEBHOOK_SECRET, заголовок X-Signature: sha256=&lt;hmac тела&gt;. Секрет включаем до того, как к компьютеру есть сеть не только у двери.</t>
  </si>
  <si>
    <t>Один проход</t>
  </si>
  <si>
    <t>Пока лучи перекрыты, мост собирает уникальные EPC и шлёт одно тело { "events": [ ... ] }. Повтор той же бирки в ту же секунду в пачку не дублируется.</t>
  </si>
  <si>
    <t>Событие кубика</t>
  </si>
  <si>
    <t>{ "eventId": "door-1-20261008T1640-&lt;epc&gt;", "source": "gate", "code": "CAB-P39", "direction": "out", "qty": 1, "deviceId": "door-1", "meta": { "externalId": "номер-заказа", "epc": "&lt;epc&gt;" } }</t>
  </si>
  <si>
    <t>Что значит code</t>
  </si>
  <si>
    <t>code — артикул склада, один на все кубики этого типа. Уникальный номер бирки едет в meta.epc. Остаток CAB-P39 уменьшается на 1 за каждый кубик. Отдельной карточки «кубик №441» в базе сейчас нет, и для подсчёта в проёме она не нужна.</t>
  </si>
  <si>
    <t>Кейс</t>
  </si>
  <si>
    <t>Радиобирка кейса, если она понадобится после пробы закрытого кейса, шлёт code CASE-FC и qty 1. Это другой артикул, не восемь кубиков. Кубики, уже отправленные со стола упаковки, дверь повторно не шлёт.</t>
  </si>
  <si>
    <t>Возврат</t>
  </si>
  <si>
    <t>Тот же набор, direction in, новый eventId с другой минутой прохода.</t>
  </si>
  <si>
    <t>Двери 2 и 3</t>
  </si>
  <si>
    <t>Те же поля. deviceId: door-2 и door-3. У каждого ридера свой адрес в Ethernet. Мост один, склад один.</t>
  </si>
  <si>
    <t>Заказ mapper</t>
  </si>
  <si>
    <t>Рамка заказ не создаёт. Заказ уже лежит после POST /api/v1/integrations/mapper/orders/. Проход списывает строки.</t>
  </si>
  <si>
    <t>Запись парка</t>
  </si>
  <si>
    <t>Код в бирку пишет настольный CF815 из того же SDK, пачками, пока бирка на столе. 3 300–8 800 записей — это дни работы, их делают по мере сборки кейсов, не в ночь перед первым выездом.</t>
  </si>
  <si>
    <t>Без этой пробы тысячи бирок сядут мимо задачи</t>
  </si>
  <si>
    <t>Тема</t>
  </si>
  <si>
    <t>Что сделать</t>
  </si>
  <si>
    <t>Проба до парка</t>
  </si>
  <si>
    <t>8 бирок, открытый кейс, проём 2 м, 26 дБм, проход туда и обратно: цель 8 из 8 и верный in/out. Затем закрыть крышку и повторить. Число, которое ответило из закрытого кейса, решает, читает дверь кубики или их читает стол.</t>
  </si>
  <si>
    <t>Куда клеить</t>
  </si>
  <si>
    <t>Внешний торец, один бок у всего парка. Между двумя кубиками в стопке бирка мертва. Кейс маркером подписывает человек. Радиобирка кейса с кодом кубика спишет лишний кабинет.</t>
  </si>
  <si>
    <t>Сколько бирок</t>
  </si>
  <si>
    <t>Жёлтые клетки на листе сметы: кейсы 500–1000, кубики 6–8, запас 10%. Сейчас это 3 300–8 800. Лот 20 штук на AliExpress даёт $0.84 за бирку. Оптовую цену на тысячи штук эта выборка AliExpress не подтвердила, поэтому парк в смете посчитан лотами по 20.</t>
  </si>
  <si>
    <t>Дни на запись</t>
  </si>
  <si>
    <t>Один терминал в руке на 8 800 бирок — это недели. Пишет настольный ридер у компьютера, пачками. Ручной остаётся на пропуски у двери.</t>
  </si>
  <si>
    <t>Первая волна без бирок. Три ссылки и цены лежат в каталоге. Хомут потом вешаем на кабель-строку склада. Мешок коротких хвостов дверь поштучно не обещает и позже.</t>
  </si>
  <si>
    <t>Чужой стеллаж</t>
  </si>
  <si>
    <t>Антенны смотрят в проём. Мощность не поднимают, чтобы добивало до машины во дворе: тогда спишется стеллаж у двери.</t>
  </si>
  <si>
    <t>Люди</t>
  </si>
  <si>
    <t>Бирка в кармане тоже читается. В расход попадает EPC, который мост сопоставил с открытым выходом, а не каждая бирка в радиусе.</t>
  </si>
  <si>
    <t>Список пропусков</t>
  </si>
  <si>
    <t>После лучей на экране «прочитано 6 из 8». Два добивает ручной UHF до отъезда.</t>
  </si>
  <si>
    <t>Офлайн</t>
  </si>
  <si>
    <t>Если сервер моргнул, мост копит события и досылает с теми же eventId. Повтор eventId остаток не двигает второй раз.</t>
  </si>
  <si>
    <t>Питание</t>
  </si>
  <si>
    <t>12 В на ридер и лучи, маленький бесперебойник на компьютере и на ридере. Иначе отключение света выглядит как «ничего не вышло».</t>
  </si>
  <si>
    <t>Пароль ридера</t>
  </si>
  <si>
    <t>После настройки четырёх каналов пароль меняем. Иначе кто угодно возвращает американский хоп, и рамка снова передаёт ниже 915 и выше 917 МГц.</t>
  </si>
  <si>
    <t>Три двери</t>
  </si>
  <si>
    <t>Вторая и третья — копия железа, не копия базы. Один компьютер, один POST, три deviceId.</t>
  </si>
  <si>
    <t>Сейчас одна дверь. Парк кубиков, кабели и двери 2–3 посчитаны отдельно</t>
  </si>
  <si>
    <t>Зелёная сумма — то, что покупаем на первую дверь, включая пробу из 20+20 бирок. Янтарные суммы — весь парк кубиков лотами по 20, если проба прошла. Голубое — кабели, количество ноль. Двери 2 и 3 — ещё по одному ридеру и комплекту антенн, когда до них дойдём.</t>
  </si>
  <si>
    <t>Позиция</t>
  </si>
  <si>
    <t>Цена USD</t>
  </si>
  <si>
    <t>Штук</t>
  </si>
  <si>
    <t>Сумма USD</t>
  </si>
  <si>
    <t>Комментарий</t>
  </si>
  <si>
    <t>CHAFON CF815</t>
  </si>
  <si>
    <t>После скрина частот и архива SDK. Модуль E710 за 290.89 вместо него, не вместе</t>
  </si>
  <si>
    <t>Антенна 9 дБи, оценка</t>
  </si>
  <si>
    <t>Цену сверить на карточке 4000110617928</t>
  </si>
  <si>
    <t>Две пары лучей E3F, оценка</t>
  </si>
  <si>
    <t>Поиск E3F-10DN1 и E3F-10L, карточки в файле нет</t>
  </si>
  <si>
    <t>Проба ABS, лот 20 шт</t>
  </si>
  <si>
    <t>Парк докупается этим типом только после пробы закрытого кейса</t>
  </si>
  <si>
    <t>Проба PCB, лот 20 шт</t>
  </si>
  <si>
    <t>Сравнение на одном кубике</t>
  </si>
  <si>
    <t>Ручной UHF PDA</t>
  </si>
  <si>
    <t>Добивка у двери. Запись парка делает настольный CF815</t>
  </si>
  <si>
    <t>Niimbot M2</t>
  </si>
  <si>
    <t>Лента и полиэстер ещё около 30 USD, в сумму не входят</t>
  </si>
  <si>
    <t>NETUM, запас на сорванную бирку</t>
  </si>
  <si>
    <t>Не основной проход</t>
  </si>
  <si>
    <t>Переходник на вилку H</t>
  </si>
  <si>
    <t>Местный магазин, оценка</t>
  </si>
  <si>
    <t>Сейчас, одна дверь и проба</t>
  </si>
  <si>
    <t>Бирки на все кубики. Жёлтые клетки можно менять. В зелёную сумму двери эти деньги не входят.</t>
  </si>
  <si>
    <t>Кейсов, минимум</t>
  </si>
  <si>
    <t>Кейсов, максимум</t>
  </si>
  <si>
    <t>Кубиков в кейсе, минимум</t>
  </si>
  <si>
    <t>Кубиков в кейсе, максимум</t>
  </si>
  <si>
    <t>Запас на брак и срыв</t>
  </si>
  <si>
    <t>Бирок на кубики, минимум</t>
  </si>
  <si>
    <t>Бирок на кубики, максимум</t>
  </si>
  <si>
    <t>Цена одной ABS, если брать лотами по 20</t>
  </si>
  <si>
    <t>Парк лотами по 20, минимум</t>
  </si>
  <si>
    <t>Парк лотами по 20, максимум</t>
  </si>
  <si>
    <t>Оптовая цена на 3 300–8 800 on-metal бирок на AliExpress этой выборкой не подтверждена. Считать парк по $0.08–0.60 с фабрик в файл не стал: такой цены на карточке нет. Пока проба лота 20 не пройдена, тысячи штук не заказываем.</t>
  </si>
  <si>
    <t>Кабельные хомуты. Количество ноль, в сумму двери не входят. Цена — sale со страницы поиска AliExpress 8 октября 2026.</t>
  </si>
  <si>
    <t>Хомут NXP U8/U9/H3, 50 шт</t>
  </si>
  <si>
    <t>За штуку около $0.47. Без скидки $45.50. Продаж 20. Карточка 3256810079211017</t>
  </si>
  <si>
    <t>Хомут ABS anti-metal, 50 шт</t>
  </si>
  <si>
    <t>За штуку около $0.62. Без скидки $34.38. Продаж 109. Карточка 3256808948767414</t>
  </si>
  <si>
    <t>Хомут на жгут, 50 шт, ISO 18000-6C</t>
  </si>
  <si>
    <t>За штуку около $0.74. Без скидки $66.91. Продаж 10. Карточка 3256808098729184</t>
  </si>
  <si>
    <t>Кабели в этой волне</t>
  </si>
  <si>
    <t>Двери 2 и 3, когда дойдём. Компьютер, ручной считыватель и принтер вторым комплектом не покупаем.</t>
  </si>
  <si>
    <t>Ещё одна дверь: ридер, 4 антенны, 2 пары лучей</t>
  </si>
  <si>
    <t>Две будущие двери. Антенна и лучи в цене — оценки. Тот же компьютер и тот же POST, deviceId door-2 и door-3.</t>
  </si>
  <si>
    <t>НДС 18%, пошлина и доставка сверху. Это коммерческий ввоз. Калькулятор на листе растаможки берёт зелёную сумму одной двери и показывает личную шкалу только как иллюстрацию. Пистолет за 669 USD и Chainway за 818 USD в суммы не входят.</t>
  </si>
  <si>
    <t>Откуда правила и цены. Витрина меняется.</t>
  </si>
  <si>
    <t>Источник</t>
  </si>
  <si>
    <t>Зачем он здесь</t>
  </si>
  <si>
    <t>GS1, UHF allocations for RFID</t>
  </si>
  <si>
    <t>https://www.gs1.org/docs/epc/uhf_regulations.pdf — Израиль: 915–917 МГц, 2 Вт EIRP, 27.08.2012.</t>
  </si>
  <si>
    <t>ITU-R SM.2255 (2012)</t>
  </si>
  <si>
    <t>https://www.itu.int/dms_pub/itu-r/opb/rep/r-rep-sm.2255-2012-pdf-e.pdf — запись уже, 915–916,8 МГц. Поэтому нужен ответ министерства.</t>
  </si>
  <si>
    <t>CHAFON, страница CF815</t>
  </si>
  <si>
    <t>https://www.chafon.com/productinfo/1069648.html — E710, USB, RS232, TCP/IP, GPIO, demo и API на C#, Java, VC, Android.</t>
  </si>
  <si>
    <t>CHAFON, загрузка SDK</t>
  </si>
  <si>
    <t>https://www.chafon.com/download — архив CF-E710.714.718.71F SDK.rar от 19.09.2025. Его и просим у продавца до оплаты.</t>
  </si>
  <si>
    <t>Лист частот CF815</t>
  </si>
  <si>
    <t>https://www.henutsen.com/CF815-EN.pdf — в листе полосы USA 902–928 и EU 865–868, мощность 0–33 дБм, дальность 0–25 м. Это не настройка Израиля и не дальность закрытого кейса.</t>
  </si>
  <si>
    <t>תקנות הטלגרף האלחוטי, תשפ"א-2021, строка 49</t>
  </si>
  <si>
    <t>2400–2483,5 МГц, до 100 мВт, ETSI EN 300 328. Это Bluetooth запасного сканера.</t>
  </si>
  <si>
    <t>ICL Global, 02.06.2026</t>
  </si>
  <si>
    <t>https://www.iclglobal.com/news_update/vat-exemption-threshold-for-personal-imports-to-israel-updated/ — личный порог снова 75 USD, НДС 18%.</t>
  </si>
  <si>
    <t>משרד התקשורת</t>
  </si>
  <si>
    <t>requests@moc.gov.il, 03-5198282. Письмо до включения: модель, четыре канала, 2 Вт EIRP.</t>
  </si>
  <si>
    <t>Хомуты, витрина поиска 8 октября 2026</t>
  </si>
  <si>
    <t>3256810079211017 sale $23.66 (без скидки $45.50, 20 продаж). 3256808948767414 sale $30.94 (без скидки $34.38, 109 продаж). 3256808098729184 sale $36.80 (без скидки $66.91, 10 продаж).</t>
  </si>
  <si>
    <t>Опт хомутов, не AliExpress</t>
  </si>
  <si>
    <t>https://rfidnfccard.com/products/disposable-cable-ties-uhf-rfid-labels-with-alien-h3-chip — $0.17, MOQ 1000. https://www.twsetech.com/products/rfid-card/rfid-tag/uhf-tag/logistic-management-and-inventory-tracking-uhf-seal-passive-zip-tie-rfid-tag-1047.html — $0.40–0.50 от 500. GoldSupplier $0.19–0.30 от 500.</t>
  </si>
  <si>
    <t>Код склада на main</t>
  </si>
  <si>
    <t>POST /api/v1/integrations/scan/events/ уже в ветке main: пачка events, direction in или out, повтор eventId остаток не двигает. На GitHub Pages этот адрес не отвечает.</t>
  </si>
  <si>
    <t>Сайт 10 октября 2026</t>
  </si>
  <si>
    <t>https://gin1104.github.io/led-warehouse/ и календарь /calendar/. Выкладка Pages от 9 октября 2026. Файл сметы в main не влит, он в запросе №3.</t>
  </si>
  <si>
    <t>Файл собирает комплект под проём 2 м, бирку на каждый кубик и самостоятельный ввоз. Он не является разрешением Министерства связи на передачу и не заменяет таможенного брокера. Сводка GS1 и ITU не является ответом министерства на вашу модель.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</si>
</sst>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&quot;$&quot;#,##0.000"/>
  </numFmts>
  <fonts count="7" x14ac:knownFonts="1">
    <font>
      <color theme="1"/>
      <family val="2"/>
      <scheme val="minor"/>
      <sz val="11"/>
      <name val="Calibri"/>
    </font>
    <font>
      <b/>
      <color rgb="FF1C1915"/>
      <sz val="16"/>
      <name val="Calibri"/>
    </font>
    <font>
      <color rgb="FF3F3A34"/>
      <sz val="11"/>
      <name val="Calibri"/>
    </font>
    <font>
      <b/>
      <color rgb="FFFFFFFF"/>
      <sz val="11"/>
      <name val="Calibri"/>
    </font>
    <font>
      <b/>
      <sz val="11"/>
      <name val="Calibri"/>
    </font>
    <font>
      <u/>
      <color rgb="FF1D4E89"/>
      <sz val="11"/>
      <name val="Calibri"/>
    </font>
    <font>
      <b/>
      <sz val="12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C1915"/>
      </patternFill>
    </fill>
    <fill>
      <patternFill patternType="solid">
        <fgColor rgb="FFF6F1E8"/>
      </patternFill>
    </fill>
    <fill>
      <patternFill patternType="solid">
        <fgColor rgb="FFE5F2EA"/>
      </patternFill>
    </fill>
    <fill>
      <patternFill patternType="solid">
        <fgColor rgb="FFE7EEF8"/>
      </patternFill>
    </fill>
    <fill>
      <patternFill patternType="solid">
        <fgColor rgb="FFFFFCF7"/>
      </patternFill>
    </fill>
    <fill>
      <patternFill patternType="solid">
        <fgColor rgb="FFFFF6E4"/>
      </patternFill>
    </fill>
    <fill>
      <patternFill patternType="solid">
        <fgColor rgb="FFF8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4" fillId="3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  <xf numFmtId="0" fontId="4" fillId="5" borderId="0" xfId="0" applyFont="1" applyFill="1" applyAlignment="1">
      <alignment vertical="top" wrapText="1"/>
    </xf>
    <xf numFmtId="0" fontId="0" fillId="5" borderId="0" xfId="0" applyFill="1" applyAlignment="1">
      <alignment vertical="top" wrapText="1"/>
    </xf>
    <xf numFmtId="0" fontId="4" fillId="6" borderId="0" xfId="0" applyFont="1" applyFill="1" applyAlignment="1">
      <alignment vertical="top" wrapText="1"/>
    </xf>
    <xf numFmtId="0" fontId="0" fillId="6" borderId="0" xfId="0" applyFill="1" applyAlignment="1">
      <alignment vertical="top" wrapText="1"/>
    </xf>
    <xf numFmtId="0" fontId="4" fillId="7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0" fontId="4" fillId="0" borderId="0" xfId="0" applyFont="1"/>
    <xf numFmtId="0" fontId="0" fillId="7" borderId="0" xfId="0" applyFill="1"/>
    <xf numFmtId="0" fontId="0" fillId="4" borderId="0" xfId="0" applyFill="1"/>
    <xf numFmtId="164" fontId="0" fillId="0" borderId="0" xfId="0" applyNumberFormat="1"/>
    <xf numFmtId="164" fontId="0" fillId="7" borderId="0" xfId="0" applyNumberFormat="1" applyFill="1"/>
    <xf numFmtId="9" fontId="0" fillId="7" borderId="0" xfId="0" applyNumberFormat="1" applyFill="1"/>
    <xf numFmtId="4" fontId="0" fillId="0" borderId="0" xfId="0" applyNumberFormat="1"/>
    <xf numFmtId="0" fontId="5" fillId="4" borderId="0" xfId="0" applyFont="1" applyFill="1" applyAlignment="1">
      <alignment vertical="top" wrapText="1"/>
    </xf>
    <xf numFmtId="164" fontId="0" fillId="4" borderId="0" xfId="0" applyNumberFormat="1" applyFill="1" applyAlignment="1">
      <alignment vertical="top" wrapText="1"/>
    </xf>
    <xf numFmtId="0" fontId="5" fillId="7" borderId="0" xfId="0" applyFont="1" applyFill="1" applyAlignment="1">
      <alignment vertical="top" wrapText="1"/>
    </xf>
    <xf numFmtId="164" fontId="0" fillId="7" borderId="0" xfId="0" applyNumberFormat="1" applyFill="1" applyAlignment="1">
      <alignment vertical="top" wrapText="1"/>
    </xf>
    <xf numFmtId="0" fontId="5" fillId="5" borderId="0" xfId="0" applyFont="1" applyFill="1" applyAlignment="1">
      <alignment vertical="top" wrapText="1"/>
    </xf>
    <xf numFmtId="164" fontId="0" fillId="5" borderId="0" xfId="0" applyNumberFormat="1" applyFill="1" applyAlignment="1">
      <alignment vertical="top" wrapText="1"/>
    </xf>
    <xf numFmtId="164" fontId="0" fillId="8" borderId="0" xfId="0" applyNumberFormat="1" applyFill="1" applyAlignment="1">
      <alignment vertical="top" wrapText="1"/>
    </xf>
    <xf numFmtId="0" fontId="5" fillId="8" borderId="0" xfId="0" applyFont="1" applyFill="1" applyAlignment="1">
      <alignment vertical="top" wrapText="1"/>
    </xf>
    <xf numFmtId="0" fontId="6" fillId="4" borderId="0" xfId="0" applyFont="1" applyFill="1"/>
    <xf numFmtId="164" fontId="0" fillId="4" borderId="0" xfId="0" applyNumberFormat="1" applyFill="1"/>
    <xf numFmtId="1" fontId="0" fillId="7" borderId="0" xfId="0" applyNumberFormat="1" applyFill="1"/>
    <xf numFmtId="3" fontId="0" fillId="7" borderId="0" xfId="0" applyNumberFormat="1" applyFill="1"/>
    <xf numFmtId="165" fontId="0" fillId="0" borderId="0" xfId="0" applyNumberFormat="1"/>
    <xf numFmtId="0" fontId="4" fillId="7" borderId="0" xfId="0" applyFont="1" applyFill="1"/>
    <xf numFmtId="164" fontId="0" fillId="3" borderId="0" xfId="0" applyNumberFormat="1" applyFill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<Relationship Id="rId6" Type="http://schemas.openxmlformats.org/officeDocument/2006/relationships/image" Target="../media/image6.jpeg"/><Relationship Id="rId7" Type="http://schemas.openxmlformats.org/officeDocument/2006/relationships/image" Target="../media/image7.jpeg"/><Relationship Id="rId8" Type="http://schemas.openxmlformats.org/officeDocument/2006/relationships/image" Target="../media/image8.jpeg"/><Relationship Id="rId9" Type="http://schemas.openxmlformats.org/officeDocument/2006/relationships/image" Target="../media/image9.jpeg"/><Relationship Id="rId10" Type="http://schemas.openxmlformats.org/officeDocument/2006/relationships/image" Target="../media/image10.jpeg"/><Relationship Id="rId11" Type="http://schemas.openxmlformats.org/officeDocument/2006/relationships/image" Target="../media/image11.jpeg"/><Relationship Id="rId12" Type="http://schemas.openxmlformats.org/officeDocument/2006/relationships/image" Target="../media/image12.jpeg"/><Relationship Id="rId13" Type="http://schemas.openxmlformats.org/officeDocument/2006/relationships/image" Target="../media/image1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27000</xdr:colOff>
      <xdr:row>4</xdr:row>
      <xdr:rowOff>126000</xdr:rowOff>
    </xdr:from>
    <xdr:ext cx="876300" cy="8763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5</xdr:row>
      <xdr:rowOff>126000</xdr:rowOff>
    </xdr:from>
    <xdr:ext cx="876300" cy="8763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6</xdr:row>
      <xdr:rowOff>126000</xdr:rowOff>
    </xdr:from>
    <xdr:ext cx="876300" cy="8763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7</xdr:row>
      <xdr:rowOff>126000</xdr:rowOff>
    </xdr:from>
    <xdr:ext cx="876300" cy="87630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8</xdr:row>
      <xdr:rowOff>126000</xdr:rowOff>
    </xdr:from>
    <xdr:ext cx="876300" cy="8763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9</xdr:row>
      <xdr:rowOff>126000</xdr:rowOff>
    </xdr:from>
    <xdr:ext cx="876300" cy="876300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10</xdr:row>
      <xdr:rowOff>126000</xdr:rowOff>
    </xdr:from>
    <xdr:ext cx="876300" cy="876300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11</xdr:row>
      <xdr:rowOff>126000</xdr:rowOff>
    </xdr:from>
    <xdr:ext cx="876300" cy="876300"/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12</xdr:row>
      <xdr:rowOff>126000</xdr:rowOff>
    </xdr:from>
    <xdr:ext cx="876300" cy="876300"/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13</xdr:row>
      <xdr:rowOff>126000</xdr:rowOff>
    </xdr:from>
    <xdr:ext cx="876300" cy="876300"/>
    <xdr:pic>
      <xdr:nvPicPr>
        <xdr:cNvPr id="10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14</xdr:row>
      <xdr:rowOff>126000</xdr:rowOff>
    </xdr:from>
    <xdr:ext cx="876300" cy="876300"/>
    <xdr:pic>
      <xdr:nvPicPr>
        <xdr:cNvPr id="11" name="Picture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15</xdr:row>
      <xdr:rowOff>126000</xdr:rowOff>
    </xdr:from>
    <xdr:ext cx="876300" cy="876300"/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16</xdr:row>
      <xdr:rowOff>125999</xdr:rowOff>
    </xdr:from>
    <xdr:ext cx="876300" cy="876300"/>
    <xdr:pic>
      <xdr:nvPicPr>
        <xdr:cNvPr id="13" name="Picture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iexpress.com/item/2255800904982823.html" TargetMode="External"/><Relationship Id="rId2" Type="http://schemas.openxmlformats.org/officeDocument/2006/relationships/hyperlink" Target="https://www.aliexpress.com/item/4000110617928.html" TargetMode="External"/><Relationship Id="rId3" Type="http://schemas.openxmlformats.org/officeDocument/2006/relationships/hyperlink" Target="https://www.aliexpress.com/item/3256809928444565.html" TargetMode="External"/><Relationship Id="rId4" Type="http://schemas.openxmlformats.org/officeDocument/2006/relationships/hyperlink" Target="https://www.aliexpress.com/item/3256806013345138.html" TargetMode="External"/><Relationship Id="rId5" Type="http://schemas.openxmlformats.org/officeDocument/2006/relationships/hyperlink" Target="https://www.aliexpress.com/item/3256812403093676.html" TargetMode="External"/><Relationship Id="rId6" Type="http://schemas.openxmlformats.org/officeDocument/2006/relationships/hyperlink" Target="https://www.aliexpress.com/item/3256807174481455.html" TargetMode="External"/><Relationship Id="rId7" Type="http://schemas.openxmlformats.org/officeDocument/2006/relationships/hyperlink" Target="https://www.aliexpress.com/item/3256807158575890.html" TargetMode="External"/><Relationship Id="rId8" Type="http://schemas.openxmlformats.org/officeDocument/2006/relationships/hyperlink" Target="https://www.aliexpress.com/item/3256810079211017.html" TargetMode="External"/><Relationship Id="rId9" Type="http://schemas.openxmlformats.org/officeDocument/2006/relationships/hyperlink" Target="https://www.aliexpress.com/item/3256808948767414.html" TargetMode="External"/><Relationship Id="rId10" Type="http://schemas.openxmlformats.org/officeDocument/2006/relationships/hyperlink" Target="https://www.aliexpress.com/item/3256808098729184.html" TargetMode="External"/><Relationship Id="rId11" Type="http://schemas.openxmlformats.org/officeDocument/2006/relationships/hyperlink" Target="https://www.aliexpress.com/item/3256812395316151.html" TargetMode="External"/><Relationship Id="rId12" Type="http://schemas.openxmlformats.org/officeDocument/2006/relationships/hyperlink" Target="https://www.aliexpress.com/item/3256812528914328.html" TargetMode="External"/><Relationship Id="rId13" Type="http://schemas.openxmlformats.org/officeDocument/2006/relationships/hyperlink" Target="https://www.aliexpress.com/item/3256811537361703.html" TargetMode="External"/><Relationship Id="rId14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iexpress.com/item/3256808492231150.html" TargetMode="External"/><Relationship Id="rId2" Type="http://schemas.openxmlformats.org/officeDocument/2006/relationships/hyperlink" Target="https://www.aliexpress.com/item/3256806984597837.html" TargetMode="External"/><Relationship Id="rId3" Type="http://schemas.openxmlformats.org/officeDocument/2006/relationships/hyperlink" Target="https://www.aliexpress.com/item/3256811990656145.html" TargetMode="External"/><Relationship Id="rId4" Type="http://schemas.openxmlformats.org/officeDocument/2006/relationships/hyperlink" Target="https://www.aliexpress.com/item/225183263262478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B21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2" width="100" customWidth="1"/>
  </cols>
  <sheetData>
    <row r="1" ht="28" customHeight="1" spans="1:2" x14ac:dyDescent="0.25">
      <c r="A1" s="1" t="s">
        <v>0</v>
      </c>
      <c r="B1" s="1"/>
    </row>
    <row r="2" ht="62" customHeight="1" spans="1:2" x14ac:dyDescent="0.25">
      <c r="A2" s="2" t="s">
        <v>1</v>
      </c>
      <c r="B2" s="2"/>
    </row>
    <row r="4" ht="28" customHeight="1" spans="1:2" s="3" customFormat="1" x14ac:dyDescent="0.25">
      <c r="A4" s="3" t="s">
        <v>2</v>
      </c>
      <c r="B4" s="3" t="s">
        <v>3</v>
      </c>
    </row>
    <row r="5" ht="48" customHeight="1" spans="1:2" x14ac:dyDescent="0.25">
      <c r="A5" s="4" t="s">
        <v>4</v>
      </c>
      <c r="B5" s="5" t="s">
        <v>5</v>
      </c>
    </row>
    <row r="6" ht="48" customHeight="1" spans="1:2" x14ac:dyDescent="0.25">
      <c r="A6" s="4" t="s">
        <v>6</v>
      </c>
      <c r="B6" s="5" t="s">
        <v>7</v>
      </c>
    </row>
    <row r="7" ht="48" customHeight="1" spans="1:2" x14ac:dyDescent="0.25">
      <c r="A7" s="4" t="s">
        <v>8</v>
      </c>
      <c r="B7" s="5" t="s">
        <v>9</v>
      </c>
    </row>
    <row r="8" ht="48" customHeight="1" spans="1:2" x14ac:dyDescent="0.25">
      <c r="A8" s="4" t="s">
        <v>10</v>
      </c>
      <c r="B8" s="5" t="s">
        <v>11</v>
      </c>
    </row>
    <row r="9" ht="48" customHeight="1" spans="1:2" x14ac:dyDescent="0.25">
      <c r="A9" s="4" t="s">
        <v>12</v>
      </c>
      <c r="B9" s="5" t="s">
        <v>13</v>
      </c>
    </row>
    <row r="11" ht="68" customHeight="1" spans="1:2" x14ac:dyDescent="0.25">
      <c r="A11" s="2" t="s">
        <v>14</v>
      </c>
      <c r="B11" s="2"/>
    </row>
    <row r="13" ht="28" customHeight="1" spans="1:2" s="3" customFormat="1" x14ac:dyDescent="0.25">
      <c r="A13" s="3" t="s">
        <v>15</v>
      </c>
      <c r="B13" s="3" t="s">
        <v>16</v>
      </c>
    </row>
    <row r="14" ht="48" customHeight="1" spans="1:2" x14ac:dyDescent="0.25">
      <c r="A14" s="6" t="s">
        <v>17</v>
      </c>
      <c r="B14" s="7" t="s">
        <v>18</v>
      </c>
    </row>
    <row r="15" ht="48" customHeight="1" spans="1:2" x14ac:dyDescent="0.25">
      <c r="A15" s="6" t="s">
        <v>19</v>
      </c>
      <c r="B15" s="7" t="s">
        <v>20</v>
      </c>
    </row>
    <row r="16" ht="48" customHeight="1" spans="1:2" x14ac:dyDescent="0.25">
      <c r="A16" s="6" t="s">
        <v>21</v>
      </c>
      <c r="B16" s="7" t="s">
        <v>22</v>
      </c>
    </row>
    <row r="17" ht="48" customHeight="1" spans="1:2" x14ac:dyDescent="0.25">
      <c r="A17" s="6" t="s">
        <v>23</v>
      </c>
      <c r="B17" s="7" t="s">
        <v>24</v>
      </c>
    </row>
    <row r="18" ht="48" customHeight="1" spans="1:2" x14ac:dyDescent="0.25">
      <c r="A18" s="6" t="s">
        <v>25</v>
      </c>
      <c r="B18" s="7" t="s">
        <v>26</v>
      </c>
    </row>
    <row r="19" ht="48" customHeight="1" spans="1:2" x14ac:dyDescent="0.25">
      <c r="A19" s="8" t="s">
        <v>27</v>
      </c>
      <c r="B19" s="9" t="s">
        <v>28</v>
      </c>
    </row>
    <row r="21" ht="64" customHeight="1" spans="1:2" x14ac:dyDescent="0.25">
      <c r="A21" s="2" t="s">
        <v>29</v>
      </c>
      <c r="B21" s="2"/>
    </row>
  </sheetData>
  <mergeCells count="4">
    <mergeCell ref="A1:B1"/>
    <mergeCell ref="A2:B2"/>
    <mergeCell ref="A11:B11"/>
    <mergeCell ref="A21:B21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57A6"/>
    <pageSetUpPr fitToPage="1"/>
  </sheetPr>
  <dimension ref="A1:B9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2" customWidth="1"/>
    <col min="2" max="2" width="100" customWidth="1"/>
  </cols>
  <sheetData>
    <row r="1" ht="28" customHeight="1" spans="1:2" x14ac:dyDescent="0.25">
      <c r="A1" s="1" t="s">
        <v>30</v>
      </c>
      <c r="B1" s="1"/>
    </row>
    <row r="2" ht="52" customHeight="1" spans="1:2" x14ac:dyDescent="0.25">
      <c r="A2" s="2" t="s">
        <v>31</v>
      </c>
      <c r="B2" s="2"/>
    </row>
    <row r="4" ht="28" customHeight="1" spans="1:2" s="3" customFormat="1" x14ac:dyDescent="0.25">
      <c r="A4" s="3" t="s">
        <v>32</v>
      </c>
      <c r="B4" s="3" t="s">
        <v>33</v>
      </c>
    </row>
    <row r="5" ht="48" customHeight="1" spans="1:2" x14ac:dyDescent="0.25">
      <c r="A5" s="4" t="s">
        <v>34</v>
      </c>
      <c r="B5" s="5" t="s">
        <v>35</v>
      </c>
    </row>
    <row r="6" ht="48" customHeight="1" spans="1:2" x14ac:dyDescent="0.25">
      <c r="A6" s="10" t="s">
        <v>36</v>
      </c>
      <c r="B6" s="11" t="s">
        <v>37</v>
      </c>
    </row>
    <row r="7" ht="48" customHeight="1" spans="1:2" x14ac:dyDescent="0.25">
      <c r="A7" s="4" t="s">
        <v>38</v>
      </c>
      <c r="B7" s="5" t="s">
        <v>39</v>
      </c>
    </row>
    <row r="8" ht="48" customHeight="1" spans="1:2" x14ac:dyDescent="0.25">
      <c r="A8" s="10" t="s">
        <v>40</v>
      </c>
      <c r="B8" s="11" t="s">
        <v>41</v>
      </c>
    </row>
    <row r="9" ht="48" customHeight="1" spans="1:2" x14ac:dyDescent="0.25">
      <c r="A9" s="12" t="s">
        <v>42</v>
      </c>
      <c r="B9" s="13" t="s">
        <v>43</v>
      </c>
    </row>
  </sheetData>
  <mergeCells count="2">
    <mergeCell ref="A1:B1"/>
    <mergeCell ref="A2:B2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622D"/>
    <pageSetUpPr fitToPage="1"/>
  </sheetPr>
  <dimension ref="A1:B12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2" width="100" customWidth="1"/>
  </cols>
  <sheetData>
    <row r="1" ht="28" customHeight="1" spans="1:2" x14ac:dyDescent="0.25">
      <c r="A1" s="1" t="s">
        <v>44</v>
      </c>
      <c r="B1" s="1"/>
    </row>
    <row r="2" ht="36" customHeight="1" spans="1:2" x14ac:dyDescent="0.25">
      <c r="A2" s="2" t="s">
        <v>45</v>
      </c>
      <c r="B2" s="2"/>
    </row>
    <row r="4" ht="28" customHeight="1" spans="1:2" s="3" customFormat="1" x14ac:dyDescent="0.25">
      <c r="A4" s="3" t="s">
        <v>46</v>
      </c>
      <c r="B4" s="3" t="s">
        <v>47</v>
      </c>
    </row>
    <row r="5" ht="48" customHeight="1" spans="1:2" x14ac:dyDescent="0.25">
      <c r="A5" s="4" t="s">
        <v>48</v>
      </c>
      <c r="B5" s="5" t="s">
        <v>49</v>
      </c>
    </row>
    <row r="6" ht="48" customHeight="1" spans="1:2" x14ac:dyDescent="0.25">
      <c r="A6" s="10" t="s">
        <v>50</v>
      </c>
      <c r="B6" s="11" t="s">
        <v>51</v>
      </c>
    </row>
    <row r="7" ht="48" customHeight="1" spans="1:2" x14ac:dyDescent="0.25">
      <c r="A7" s="4" t="s">
        <v>52</v>
      </c>
      <c r="B7" s="5" t="s">
        <v>53</v>
      </c>
    </row>
    <row r="8" ht="48" customHeight="1" spans="1:2" x14ac:dyDescent="0.25">
      <c r="A8" s="12" t="s">
        <v>54</v>
      </c>
      <c r="B8" s="13" t="s">
        <v>55</v>
      </c>
    </row>
    <row r="9" ht="48" customHeight="1" spans="1:2" x14ac:dyDescent="0.25">
      <c r="A9" s="12" t="s">
        <v>56</v>
      </c>
      <c r="B9" s="13" t="s">
        <v>57</v>
      </c>
    </row>
    <row r="10" ht="48" customHeight="1" spans="1:2" x14ac:dyDescent="0.25">
      <c r="A10" s="10" t="s">
        <v>58</v>
      </c>
      <c r="B10" s="11" t="s">
        <v>59</v>
      </c>
    </row>
    <row r="11" ht="48" customHeight="1" spans="1:2" x14ac:dyDescent="0.25">
      <c r="A11" s="4" t="s">
        <v>60</v>
      </c>
      <c r="B11" s="5" t="s">
        <v>61</v>
      </c>
    </row>
    <row r="12" ht="48" customHeight="1" spans="1:2" x14ac:dyDescent="0.25">
      <c r="A12" s="10" t="s">
        <v>62</v>
      </c>
      <c r="B12" s="11" t="s">
        <v>63</v>
      </c>
    </row>
  </sheetData>
  <mergeCells count="2">
    <mergeCell ref="A1:B1"/>
    <mergeCell ref="A2:B2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57A6"/>
    <pageSetUpPr fitToPage="1"/>
  </sheetPr>
  <dimension ref="A1:C18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0" customWidth="1"/>
    <col min="2" max="2" width="30" customWidth="1"/>
    <col min="3" max="3" width="64" customWidth="1"/>
  </cols>
  <sheetData>
    <row r="1" ht="28" customHeight="1" spans="1:3" x14ac:dyDescent="0.25">
      <c r="A1" s="1" t="s">
        <v>64</v>
      </c>
      <c r="B1" s="1"/>
      <c r="C1" s="1"/>
    </row>
    <row r="2" ht="56" customHeight="1" spans="1:3" x14ac:dyDescent="0.25">
      <c r="A2" s="2" t="s">
        <v>65</v>
      </c>
      <c r="B2" s="2"/>
      <c r="C2" s="2"/>
    </row>
    <row r="4" ht="28" customHeight="1" spans="1:3" s="3" customFormat="1" x14ac:dyDescent="0.25">
      <c r="A4" s="3" t="s">
        <v>66</v>
      </c>
      <c r="B4" s="3" t="s">
        <v>67</v>
      </c>
      <c r="C4" s="3" t="s">
        <v>68</v>
      </c>
    </row>
    <row r="5" ht="44" customHeight="1" spans="1:3" x14ac:dyDescent="0.25">
      <c r="A5" s="7" t="s">
        <v>69</v>
      </c>
      <c r="B5" s="7" t="s">
        <v>70</v>
      </c>
      <c r="C5" s="7" t="s">
        <v>71</v>
      </c>
    </row>
    <row r="6" ht="44" customHeight="1" spans="1:3" x14ac:dyDescent="0.25">
      <c r="A6" s="14" t="s">
        <v>72</v>
      </c>
      <c r="B6" s="14" t="s">
        <v>73</v>
      </c>
      <c r="C6" s="14" t="s">
        <v>74</v>
      </c>
    </row>
    <row r="7" ht="44" customHeight="1" spans="1:3" x14ac:dyDescent="0.25">
      <c r="A7" s="14" t="s">
        <v>75</v>
      </c>
      <c r="B7" s="14" t="s">
        <v>76</v>
      </c>
      <c r="C7" s="14" t="s">
        <v>77</v>
      </c>
    </row>
    <row r="8" ht="44" customHeight="1" spans="1:3" x14ac:dyDescent="0.25">
      <c r="A8" s="14" t="s">
        <v>78</v>
      </c>
      <c r="B8" s="14" t="s">
        <v>79</v>
      </c>
      <c r="C8" s="14" t="s">
        <v>80</v>
      </c>
    </row>
    <row r="9" ht="44" customHeight="1" spans="1:3" x14ac:dyDescent="0.25">
      <c r="A9" s="7" t="s">
        <v>81</v>
      </c>
      <c r="B9" s="7" t="s">
        <v>82</v>
      </c>
      <c r="C9" s="7" t="s">
        <v>83</v>
      </c>
    </row>
    <row r="10" ht="44" customHeight="1" spans="1:3" x14ac:dyDescent="0.25">
      <c r="A10" s="14" t="s">
        <v>84</v>
      </c>
      <c r="B10" s="14" t="s">
        <v>85</v>
      </c>
      <c r="C10" s="14" t="s">
        <v>86</v>
      </c>
    </row>
    <row r="12" ht="32" customHeight="1" spans="1:3" x14ac:dyDescent="0.25">
      <c r="A12" s="2" t="s">
        <v>87</v>
      </c>
      <c r="B12" s="2"/>
      <c r="C12" s="2"/>
    </row>
    <row r="14" spans="1:2" x14ac:dyDescent="0.25">
      <c r="A14" s="15" t="s">
        <v>88</v>
      </c>
      <c r="B14" s="16">
        <v>26</v>
      </c>
    </row>
    <row r="15" spans="1:2" x14ac:dyDescent="0.25">
      <c r="A15" s="15" t="s">
        <v>89</v>
      </c>
      <c r="B15" s="16">
        <v>9</v>
      </c>
    </row>
    <row r="16" spans="1:2" x14ac:dyDescent="0.25">
      <c r="A16" s="15" t="s">
        <v>90</v>
      </c>
      <c r="B16" s="16">
        <v>2</v>
      </c>
    </row>
    <row r="17" spans="1:2" x14ac:dyDescent="0.25">
      <c r="A17" s="15" t="s">
        <v>91</v>
      </c>
      <c r="B17" s="17">
        <f>B14+B15-B16</f>
      </c>
    </row>
    <row r="18" spans="1:2" x14ac:dyDescent="0.25">
      <c r="A18" s="15" t="s">
        <v>92</v>
      </c>
      <c r="B18" s="17">
        <f>IF(B17&gt;33,"Да, убавить мощность ридера","Нет, в потолке 33 дБм")</f>
      </c>
    </row>
  </sheetData>
  <mergeCells count="3">
    <mergeCell ref="A1:C1"/>
    <mergeCell ref="A2:C2"/>
    <mergeCell ref="A12:C12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5A00"/>
    <pageSetUpPr fitToPage="1"/>
  </sheetPr>
  <dimension ref="A1:B19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2" customWidth="1"/>
    <col min="2" max="2" width="88" customWidth="1"/>
  </cols>
  <sheetData>
    <row r="1" ht="28" customHeight="1" spans="1:2" x14ac:dyDescent="0.25">
      <c r="A1" s="1" t="s">
        <v>93</v>
      </c>
      <c r="B1" s="1"/>
    </row>
    <row r="2" ht="68" customHeight="1" spans="1:2" x14ac:dyDescent="0.25">
      <c r="A2" s="2" t="s">
        <v>94</v>
      </c>
      <c r="B2" s="2"/>
    </row>
    <row r="4" ht="28" customHeight="1" spans="1:2" s="3" customFormat="1" x14ac:dyDescent="0.25">
      <c r="A4" s="3" t="s">
        <v>46</v>
      </c>
      <c r="B4" s="3" t="s">
        <v>95</v>
      </c>
    </row>
    <row r="5" ht="48" customHeight="1" spans="1:2" x14ac:dyDescent="0.25">
      <c r="A5" s="4" t="s">
        <v>96</v>
      </c>
      <c r="B5" s="5" t="s">
        <v>97</v>
      </c>
    </row>
    <row r="6" ht="48" customHeight="1" spans="1:2" x14ac:dyDescent="0.25">
      <c r="A6" s="10" t="s">
        <v>98</v>
      </c>
      <c r="B6" s="11" t="s">
        <v>99</v>
      </c>
    </row>
    <row r="7" ht="48" customHeight="1" spans="1:2" x14ac:dyDescent="0.25">
      <c r="A7" s="4" t="s">
        <v>100</v>
      </c>
      <c r="B7" s="5" t="s">
        <v>101</v>
      </c>
    </row>
    <row r="8" ht="48" customHeight="1" spans="1:2" x14ac:dyDescent="0.25">
      <c r="A8" s="10" t="s">
        <v>102</v>
      </c>
      <c r="B8" s="11" t="s">
        <v>103</v>
      </c>
    </row>
    <row r="9" ht="48" customHeight="1" spans="1:2" x14ac:dyDescent="0.25">
      <c r="A9" s="4" t="s">
        <v>104</v>
      </c>
      <c r="B9" s="5" t="s">
        <v>105</v>
      </c>
    </row>
    <row r="10" ht="48" customHeight="1" spans="1:2" x14ac:dyDescent="0.25">
      <c r="A10" s="10" t="s">
        <v>106</v>
      </c>
      <c r="B10" s="11" t="s">
        <v>107</v>
      </c>
    </row>
    <row r="12" spans="1:2" x14ac:dyDescent="0.25">
      <c r="A12" s="15" t="s">
        <v>108</v>
      </c>
      <c r="B12" s="18">
        <f>'Смета'!D13</f>
      </c>
    </row>
    <row r="13" spans="1:2" x14ac:dyDescent="0.25">
      <c r="A13" s="15" t="s">
        <v>109</v>
      </c>
      <c r="B13" s="19">
        <v>80</v>
      </c>
    </row>
    <row r="14" spans="1:2" x14ac:dyDescent="0.25">
      <c r="A14" s="15" t="s">
        <v>110</v>
      </c>
      <c r="B14" s="20">
        <v>0.12</v>
      </c>
    </row>
    <row r="15" spans="1:2" x14ac:dyDescent="0.25">
      <c r="A15" s="15" t="s">
        <v>111</v>
      </c>
      <c r="B15" s="21">
        <f>IF(B12&gt;500,B12*B14,0)</f>
      </c>
    </row>
    <row r="16" spans="1:2" x14ac:dyDescent="0.25">
      <c r="A16" s="15" t="s">
        <v>112</v>
      </c>
      <c r="B16" s="21">
        <f>IF(B12&gt;75,(B12+B13+B15)*0.18,0)</f>
      </c>
    </row>
    <row r="17" spans="1:2" x14ac:dyDescent="0.25">
      <c r="A17" s="15" t="s">
        <v>113</v>
      </c>
      <c r="B17" s="18">
        <f>B12+B13+B15+B16</f>
      </c>
    </row>
    <row r="19" ht="48" customHeight="1" spans="1:2" x14ac:dyDescent="0.25">
      <c r="A19" s="2" t="s">
        <v>114</v>
      </c>
      <c r="B19" s="2"/>
    </row>
  </sheetData>
  <mergeCells count="3">
    <mergeCell ref="A1:B1"/>
    <mergeCell ref="A2:B2"/>
    <mergeCell ref="A19:B19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622D"/>
    <pageSetUpPr fitToPage="1"/>
  </sheetPr>
  <dimension ref="A1:E12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3" width="38" customWidth="1"/>
    <col min="4" max="4" width="36" customWidth="1"/>
    <col min="5" max="5" width="32" customWidth="1"/>
  </cols>
  <sheetData>
    <row r="1" ht="28" customHeight="1" spans="1:5" x14ac:dyDescent="0.25">
      <c r="A1" s="1" t="s">
        <v>115</v>
      </c>
      <c r="B1" s="1"/>
      <c r="C1" s="1"/>
      <c r="D1" s="1"/>
      <c r="E1" s="1"/>
    </row>
    <row r="2" ht="32" customHeight="1" spans="1:5" x14ac:dyDescent="0.25">
      <c r="A2" s="2" t="s">
        <v>116</v>
      </c>
      <c r="B2" s="2"/>
      <c r="C2" s="2"/>
      <c r="D2" s="2"/>
      <c r="E2" s="2"/>
    </row>
    <row r="4" ht="28" customHeight="1" spans="1:5" s="3" customFormat="1" x14ac:dyDescent="0.25">
      <c r="A4" s="3" t="s">
        <v>117</v>
      </c>
      <c r="B4" s="3" t="s">
        <v>118</v>
      </c>
      <c r="C4" s="3" t="s">
        <v>119</v>
      </c>
      <c r="D4" s="3" t="s">
        <v>120</v>
      </c>
      <c r="E4" s="3" t="s">
        <v>121</v>
      </c>
    </row>
    <row r="5" ht="42" customHeight="1" spans="1:5" x14ac:dyDescent="0.25">
      <c r="A5" s="4" t="s">
        <v>122</v>
      </c>
      <c r="B5" s="7" t="s">
        <v>123</v>
      </c>
      <c r="C5" s="13" t="s">
        <v>124</v>
      </c>
      <c r="D5" s="14" t="s">
        <v>125</v>
      </c>
      <c r="E5" s="14" t="s">
        <v>126</v>
      </c>
    </row>
    <row r="6" ht="42" customHeight="1" spans="1:5" x14ac:dyDescent="0.25">
      <c r="A6" s="4" t="s">
        <v>127</v>
      </c>
      <c r="B6" s="7" t="s">
        <v>128</v>
      </c>
      <c r="C6" s="13" t="s">
        <v>129</v>
      </c>
      <c r="D6" s="14" t="s">
        <v>130</v>
      </c>
      <c r="E6" s="14" t="s">
        <v>131</v>
      </c>
    </row>
    <row r="7" ht="42" customHeight="1" spans="1:5" x14ac:dyDescent="0.25">
      <c r="A7" s="4" t="s">
        <v>132</v>
      </c>
      <c r="B7" s="7" t="s">
        <v>133</v>
      </c>
      <c r="C7" s="13" t="s">
        <v>134</v>
      </c>
      <c r="D7" s="14" t="s">
        <v>135</v>
      </c>
      <c r="E7" s="14" t="s">
        <v>136</v>
      </c>
    </row>
    <row r="8" ht="42" customHeight="1" spans="1:5" x14ac:dyDescent="0.25">
      <c r="A8" s="4" t="s">
        <v>54</v>
      </c>
      <c r="B8" s="7" t="s">
        <v>137</v>
      </c>
      <c r="C8" s="13" t="s">
        <v>138</v>
      </c>
      <c r="D8" s="14" t="s">
        <v>139</v>
      </c>
      <c r="E8" s="14" t="s">
        <v>140</v>
      </c>
    </row>
    <row r="9" ht="42" customHeight="1" spans="1:5" x14ac:dyDescent="0.25">
      <c r="A9" s="4" t="s">
        <v>141</v>
      </c>
      <c r="B9" s="7" t="s">
        <v>142</v>
      </c>
      <c r="C9" s="13" t="s">
        <v>143</v>
      </c>
      <c r="D9" s="14" t="s">
        <v>144</v>
      </c>
      <c r="E9" s="14" t="s">
        <v>145</v>
      </c>
    </row>
    <row r="10" ht="42" customHeight="1" spans="1:5" x14ac:dyDescent="0.25">
      <c r="A10" s="4" t="s">
        <v>146</v>
      </c>
      <c r="B10" s="7" t="s">
        <v>147</v>
      </c>
      <c r="C10" s="13" t="s">
        <v>148</v>
      </c>
      <c r="D10" s="14" t="s">
        <v>149</v>
      </c>
      <c r="E10" s="14" t="s">
        <v>150</v>
      </c>
    </row>
    <row r="11" ht="42" customHeight="1" spans="1:5" x14ac:dyDescent="0.25">
      <c r="A11" s="4" t="s">
        <v>151</v>
      </c>
      <c r="B11" s="7" t="s">
        <v>152</v>
      </c>
      <c r="C11" s="13" t="s">
        <v>153</v>
      </c>
      <c r="D11" s="14" t="s">
        <v>154</v>
      </c>
      <c r="E11" s="14" t="s">
        <v>155</v>
      </c>
    </row>
    <row r="12" ht="42" customHeight="1" spans="1:5" x14ac:dyDescent="0.25">
      <c r="A12" s="4" t="s">
        <v>156</v>
      </c>
      <c r="B12" s="7" t="s">
        <v>157</v>
      </c>
      <c r="C12" s="13" t="s">
        <v>158</v>
      </c>
      <c r="D12" s="14" t="s">
        <v>159</v>
      </c>
      <c r="E12" s="14" t="s">
        <v>160</v>
      </c>
    </row>
  </sheetData>
  <mergeCells count="2">
    <mergeCell ref="A1:E1"/>
    <mergeCell ref="A2:E2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I19"/>
  <sheetViews>
    <sheetView workbookViewId="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18" customWidth="1"/>
    <col min="2" max="2" width="20" customWidth="1"/>
    <col min="3" max="3" width="28" customWidth="1"/>
    <col min="4" max="4" width="46" customWidth="1"/>
    <col min="5" max="5" width="14" customWidth="1"/>
    <col min="6" max="6" width="30" customWidth="1"/>
    <col min="7" max="7" width="28" customWidth="1"/>
    <col min="8" max="8" width="52" customWidth="1"/>
    <col min="9" max="9" width="12" customWidth="1"/>
  </cols>
  <sheetData>
    <row r="1" ht="28" customHeight="1" spans="1:9" x14ac:dyDescent="0.25">
      <c r="A1" s="1" t="s">
        <v>161</v>
      </c>
      <c r="B1" s="1"/>
      <c r="C1" s="1"/>
      <c r="D1" s="1"/>
      <c r="E1" s="1"/>
      <c r="F1" s="1"/>
      <c r="G1" s="1"/>
      <c r="H1" s="1"/>
      <c r="I1" s="1"/>
    </row>
    <row r="2" ht="48" customHeight="1" spans="1:9" x14ac:dyDescent="0.25">
      <c r="A2" s="2" t="s">
        <v>162</v>
      </c>
      <c r="B2" s="2"/>
      <c r="C2" s="2"/>
      <c r="D2" s="2"/>
      <c r="E2" s="2"/>
      <c r="F2" s="2"/>
      <c r="G2" s="2"/>
      <c r="H2" s="2"/>
      <c r="I2" s="2"/>
    </row>
    <row r="4" ht="28" customHeight="1" spans="1:9" s="3" customFormat="1" x14ac:dyDescent="0.25">
      <c r="A4" s="3" t="s">
        <v>163</v>
      </c>
      <c r="B4" s="3" t="s">
        <v>164</v>
      </c>
      <c r="C4" s="3" t="s">
        <v>16</v>
      </c>
      <c r="D4" s="3" t="s">
        <v>165</v>
      </c>
      <c r="E4" s="3" t="s">
        <v>166</v>
      </c>
      <c r="F4" s="3" t="s">
        <v>167</v>
      </c>
      <c r="G4" s="3" t="s">
        <v>168</v>
      </c>
      <c r="H4" s="3" t="s">
        <v>169</v>
      </c>
      <c r="I4" s="3" t="s">
        <v>170</v>
      </c>
    </row>
    <row r="5" ht="84" customHeight="1" spans="2:9" x14ac:dyDescent="0.25">
      <c r="B5" s="7" t="s">
        <v>17</v>
      </c>
      <c r="C5" s="7" t="s">
        <v>171</v>
      </c>
      <c r="D5" s="22" t="s">
        <v>172</v>
      </c>
      <c r="E5" s="23">
        <v>351.78</v>
      </c>
      <c r="F5" s="7" t="s">
        <v>173</v>
      </c>
      <c r="G5" s="7" t="s">
        <v>174</v>
      </c>
      <c r="H5" s="7" t="s">
        <v>175</v>
      </c>
      <c r="I5" s="7">
        <v>1</v>
      </c>
    </row>
    <row r="6" ht="84" customHeight="1" spans="2:9" x14ac:dyDescent="0.25">
      <c r="B6" s="7" t="s">
        <v>176</v>
      </c>
      <c r="C6" s="7" t="s">
        <v>177</v>
      </c>
      <c r="D6" s="22" t="s">
        <v>178</v>
      </c>
      <c r="E6" s="23">
        <v>35</v>
      </c>
      <c r="F6" s="7" t="s">
        <v>179</v>
      </c>
      <c r="G6" s="7" t="s">
        <v>180</v>
      </c>
      <c r="H6" s="7" t="s">
        <v>181</v>
      </c>
      <c r="I6" s="7">
        <v>4</v>
      </c>
    </row>
    <row r="7" ht="84" customHeight="1" spans="2:9" x14ac:dyDescent="0.25">
      <c r="B7" s="13" t="s">
        <v>182</v>
      </c>
      <c r="C7" s="13" t="s">
        <v>183</v>
      </c>
      <c r="D7" s="24" t="s">
        <v>184</v>
      </c>
      <c r="E7" s="25">
        <v>16.81</v>
      </c>
      <c r="F7" s="13" t="s">
        <v>185</v>
      </c>
      <c r="G7" s="13" t="s">
        <v>186</v>
      </c>
      <c r="H7" s="13" t="s">
        <v>187</v>
      </c>
      <c r="I7" s="13">
        <v>1</v>
      </c>
    </row>
    <row r="8" ht="84" customHeight="1" spans="2:9" x14ac:dyDescent="0.25">
      <c r="B8" s="13" t="s">
        <v>188</v>
      </c>
      <c r="C8" s="13" t="s">
        <v>189</v>
      </c>
      <c r="D8" s="24" t="s">
        <v>190</v>
      </c>
      <c r="E8" s="25">
        <v>20.58</v>
      </c>
      <c r="F8" s="13" t="s">
        <v>191</v>
      </c>
      <c r="G8" s="13" t="s">
        <v>192</v>
      </c>
      <c r="H8" s="13" t="s">
        <v>193</v>
      </c>
      <c r="I8" s="13">
        <v>1</v>
      </c>
    </row>
    <row r="9" ht="84" customHeight="1" spans="2:9" x14ac:dyDescent="0.25">
      <c r="B9" s="13" t="s">
        <v>194</v>
      </c>
      <c r="C9" s="13" t="s">
        <v>195</v>
      </c>
      <c r="D9" s="24" t="s">
        <v>196</v>
      </c>
      <c r="E9" s="25">
        <v>299</v>
      </c>
      <c r="F9" s="13" t="s">
        <v>197</v>
      </c>
      <c r="G9" s="13" t="s">
        <v>198</v>
      </c>
      <c r="H9" s="13" t="s">
        <v>199</v>
      </c>
      <c r="I9" s="13">
        <v>1</v>
      </c>
    </row>
    <row r="10" ht="84" customHeight="1" spans="2:9" x14ac:dyDescent="0.25">
      <c r="B10" s="7" t="s">
        <v>200</v>
      </c>
      <c r="C10" s="7" t="s">
        <v>201</v>
      </c>
      <c r="D10" s="22" t="s">
        <v>202</v>
      </c>
      <c r="E10" s="23">
        <v>108.18</v>
      </c>
      <c r="F10" s="7" t="s">
        <v>203</v>
      </c>
      <c r="G10" s="7" t="s">
        <v>204</v>
      </c>
      <c r="H10" s="7" t="s">
        <v>205</v>
      </c>
      <c r="I10" s="7">
        <v>1</v>
      </c>
    </row>
    <row r="11" ht="84" customHeight="1" spans="2:9" x14ac:dyDescent="0.25">
      <c r="B11" s="13" t="s">
        <v>206</v>
      </c>
      <c r="C11" s="13" t="s">
        <v>207</v>
      </c>
      <c r="D11" s="24" t="s">
        <v>208</v>
      </c>
      <c r="E11" s="25">
        <v>26.39</v>
      </c>
      <c r="F11" s="13" t="s">
        <v>209</v>
      </c>
      <c r="G11" s="13" t="s">
        <v>210</v>
      </c>
      <c r="H11" s="13" t="s">
        <v>211</v>
      </c>
      <c r="I11" s="13">
        <v>1</v>
      </c>
    </row>
    <row r="12" ht="84" customHeight="1" spans="2:9" x14ac:dyDescent="0.25">
      <c r="B12" s="9" t="s">
        <v>212</v>
      </c>
      <c r="C12" s="9" t="s">
        <v>213</v>
      </c>
      <c r="D12" s="26" t="s">
        <v>214</v>
      </c>
      <c r="E12" s="27">
        <v>23.66</v>
      </c>
      <c r="F12" s="9" t="s">
        <v>191</v>
      </c>
      <c r="G12" s="9" t="s">
        <v>215</v>
      </c>
      <c r="H12" s="9" t="s">
        <v>216</v>
      </c>
      <c r="I12" s="9">
        <v>0</v>
      </c>
    </row>
    <row r="13" ht="84" customHeight="1" spans="2:9" x14ac:dyDescent="0.25">
      <c r="B13" s="9" t="s">
        <v>212</v>
      </c>
      <c r="C13" s="9" t="s">
        <v>217</v>
      </c>
      <c r="D13" s="26" t="s">
        <v>218</v>
      </c>
      <c r="E13" s="27">
        <v>30.94</v>
      </c>
      <c r="F13" s="9" t="s">
        <v>191</v>
      </c>
      <c r="G13" s="9" t="s">
        <v>215</v>
      </c>
      <c r="H13" s="9" t="s">
        <v>219</v>
      </c>
      <c r="I13" s="9">
        <v>0</v>
      </c>
    </row>
    <row r="14" ht="84" customHeight="1" spans="2:9" x14ac:dyDescent="0.25">
      <c r="B14" s="9" t="s">
        <v>212</v>
      </c>
      <c r="C14" s="9" t="s">
        <v>220</v>
      </c>
      <c r="D14" s="26" t="s">
        <v>221</v>
      </c>
      <c r="E14" s="27">
        <v>36.8</v>
      </c>
      <c r="F14" s="9" t="s">
        <v>222</v>
      </c>
      <c r="G14" s="9" t="s">
        <v>215</v>
      </c>
      <c r="H14" s="9" t="s">
        <v>223</v>
      </c>
      <c r="I14" s="9">
        <v>0</v>
      </c>
    </row>
    <row r="15" ht="84" customHeight="1" spans="2:9" x14ac:dyDescent="0.25">
      <c r="B15" s="13" t="s">
        <v>224</v>
      </c>
      <c r="C15" s="13" t="s">
        <v>225</v>
      </c>
      <c r="D15" s="24" t="s">
        <v>226</v>
      </c>
      <c r="E15" s="25">
        <v>290.89</v>
      </c>
      <c r="F15" s="13" t="s">
        <v>227</v>
      </c>
      <c r="G15" s="13" t="s">
        <v>228</v>
      </c>
      <c r="H15" s="13" t="s">
        <v>229</v>
      </c>
      <c r="I15" s="13">
        <v>0</v>
      </c>
    </row>
    <row r="16" ht="84" customHeight="1" spans="2:9" x14ac:dyDescent="0.25">
      <c r="B16" s="13" t="s">
        <v>230</v>
      </c>
      <c r="C16" s="13" t="s">
        <v>231</v>
      </c>
      <c r="D16" s="24" t="s">
        <v>232</v>
      </c>
      <c r="E16" s="25">
        <v>669.36</v>
      </c>
      <c r="F16" s="13" t="s">
        <v>233</v>
      </c>
      <c r="G16" s="13" t="s">
        <v>234</v>
      </c>
      <c r="H16" s="13" t="s">
        <v>235</v>
      </c>
      <c r="I16" s="13">
        <v>0</v>
      </c>
    </row>
    <row r="17" ht="84" customHeight="1" spans="2:9" x14ac:dyDescent="0.25">
      <c r="B17" s="13" t="s">
        <v>230</v>
      </c>
      <c r="C17" s="13" t="s">
        <v>236</v>
      </c>
      <c r="D17" s="24" t="s">
        <v>237</v>
      </c>
      <c r="E17" s="25">
        <v>818.34</v>
      </c>
      <c r="F17" s="13" t="s">
        <v>238</v>
      </c>
      <c r="G17" s="13" t="s">
        <v>234</v>
      </c>
      <c r="H17" s="13" t="s">
        <v>239</v>
      </c>
      <c r="I17" s="13">
        <v>0</v>
      </c>
    </row>
    <row r="19" ht="48" customHeight="1" spans="1:9" x14ac:dyDescent="0.25">
      <c r="A19" s="2" t="s">
        <v>240</v>
      </c>
      <c r="B19" s="2"/>
      <c r="C19" s="2"/>
      <c r="D19" s="2"/>
      <c r="E19" s="2"/>
      <c r="F19" s="2"/>
      <c r="G19" s="2"/>
      <c r="H19" s="2"/>
      <c r="I19" s="2"/>
    </row>
  </sheetData>
  <mergeCells count="3">
    <mergeCell ref="A1:I1"/>
    <mergeCell ref="A2:I2"/>
    <mergeCell ref="A19:I19"/>
  </mergeCells>
  <hyperlinks>
    <hyperlink ref="D5" r:id="rId1"/>
    <hyperlink ref="D6" r:id="rId2"/>
    <hyperlink ref="D7" r:id="rId3"/>
    <hyperlink ref="D8" r:id="rId4"/>
    <hyperlink ref="D9" r:id="rId5"/>
    <hyperlink ref="D10" r:id="rId6"/>
    <hyperlink ref="D11" r:id="rId7"/>
    <hyperlink ref="D12" r:id="rId8"/>
    <hyperlink ref="D13" r:id="rId9"/>
    <hyperlink ref="D14" r:id="rId10"/>
    <hyperlink ref="D15" r:id="rId11"/>
    <hyperlink ref="D16" r:id="rId12"/>
    <hyperlink ref="D17" r:id="rId13"/>
  </hyperlink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  <drawing r:id="rId1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B2C2C"/>
    <pageSetUpPr fitToPage="1"/>
  </sheetPr>
  <dimension ref="A1:D9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52" customWidth="1"/>
    <col min="2" max="2" width="16" customWidth="1"/>
    <col min="3" max="3" width="62" customWidth="1"/>
    <col min="4" max="4" width="42" customWidth="1"/>
  </cols>
  <sheetData>
    <row r="1" ht="28" customHeight="1" spans="1:4" x14ac:dyDescent="0.25">
      <c r="A1" s="1" t="s">
        <v>241</v>
      </c>
      <c r="B1" s="1"/>
      <c r="C1" s="1"/>
      <c r="D1" s="1"/>
    </row>
    <row r="3" ht="28" customHeight="1" spans="1:4" s="3" customFormat="1" x14ac:dyDescent="0.25">
      <c r="A3" s="3" t="s">
        <v>165</v>
      </c>
      <c r="B3" s="3" t="s">
        <v>166</v>
      </c>
      <c r="C3" s="3" t="s">
        <v>242</v>
      </c>
      <c r="D3" s="3" t="s">
        <v>243</v>
      </c>
    </row>
    <row r="4" ht="36" customHeight="1" spans="1:4" x14ac:dyDescent="0.25">
      <c r="A4" s="14" t="s">
        <v>244</v>
      </c>
      <c r="B4" s="28">
        <v>49</v>
      </c>
      <c r="C4" s="14" t="s">
        <v>245</v>
      </c>
      <c r="D4" s="29" t="s">
        <v>246</v>
      </c>
    </row>
    <row r="5" ht="36" customHeight="1" spans="1:4" x14ac:dyDescent="0.25">
      <c r="A5" s="14" t="s">
        <v>247</v>
      </c>
      <c r="B5" s="28">
        <v>6.33</v>
      </c>
      <c r="C5" s="14" t="s">
        <v>248</v>
      </c>
      <c r="D5" s="29" t="s">
        <v>246</v>
      </c>
    </row>
    <row r="6" ht="36" customHeight="1" spans="1:4" x14ac:dyDescent="0.25">
      <c r="A6" s="14" t="s">
        <v>249</v>
      </c>
      <c r="B6" s="28">
        <v>8.56</v>
      </c>
      <c r="C6" s="14" t="s">
        <v>250</v>
      </c>
      <c r="D6" s="29" t="s">
        <v>246</v>
      </c>
    </row>
    <row r="7" ht="36" customHeight="1" spans="1:4" x14ac:dyDescent="0.25">
      <c r="A7" s="14" t="s">
        <v>251</v>
      </c>
      <c r="B7" s="28">
        <v>15.5</v>
      </c>
      <c r="C7" s="14" t="s">
        <v>252</v>
      </c>
      <c r="D7" s="29" t="s">
        <v>246</v>
      </c>
    </row>
    <row r="9" ht="56" customHeight="1" spans="1:4" x14ac:dyDescent="0.25">
      <c r="A9" s="2" t="s">
        <v>253</v>
      </c>
      <c r="B9" s="2"/>
      <c r="C9" s="2"/>
      <c r="D9" s="2"/>
    </row>
  </sheetData>
  <mergeCells count="2">
    <mergeCell ref="A1:D1"/>
    <mergeCell ref="A9:D9"/>
  </mergeCells>
  <hyperlinks>
    <hyperlink ref="D4" r:id="rId1"/>
    <hyperlink ref="D5" r:id="rId2"/>
    <hyperlink ref="D6" r:id="rId3"/>
    <hyperlink ref="D7" r:id="rId4"/>
  </hyperlink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57A6"/>
    <pageSetUpPr fitToPage="1"/>
  </sheetPr>
  <dimension ref="A1:B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4" customWidth="1"/>
    <col min="2" max="2" width="96" customWidth="1"/>
  </cols>
  <sheetData>
    <row r="1" ht="28" customHeight="1" spans="1:2" x14ac:dyDescent="0.25">
      <c r="A1" s="1" t="s">
        <v>254</v>
      </c>
      <c r="B1" s="1"/>
    </row>
    <row r="2" ht="48" customHeight="1" spans="1:2" x14ac:dyDescent="0.25">
      <c r="A2" s="2" t="s">
        <v>255</v>
      </c>
      <c r="B2" s="2"/>
    </row>
    <row r="4" ht="28" customHeight="1" spans="1:2" s="3" customFormat="1" x14ac:dyDescent="0.25">
      <c r="A4" s="3" t="s">
        <v>256</v>
      </c>
      <c r="B4" s="3" t="s">
        <v>257</v>
      </c>
    </row>
    <row r="5" ht="64" customHeight="1" spans="1:2" x14ac:dyDescent="0.25">
      <c r="A5" s="4" t="s">
        <v>258</v>
      </c>
      <c r="B5" s="5" t="s">
        <v>259</v>
      </c>
    </row>
    <row r="6" ht="44" customHeight="1" spans="1:2" x14ac:dyDescent="0.25">
      <c r="A6" s="10" t="s">
        <v>260</v>
      </c>
      <c r="B6" s="11" t="s">
        <v>261</v>
      </c>
    </row>
    <row r="7" ht="44" customHeight="1" spans="1:2" x14ac:dyDescent="0.25">
      <c r="A7" s="4" t="s">
        <v>262</v>
      </c>
      <c r="B7" s="5" t="s">
        <v>263</v>
      </c>
    </row>
    <row r="8" ht="44" customHeight="1" spans="1:2" x14ac:dyDescent="0.25">
      <c r="A8" s="10" t="s">
        <v>264</v>
      </c>
      <c r="B8" s="11" t="s">
        <v>265</v>
      </c>
    </row>
    <row r="9" ht="44" customHeight="1" spans="1:2" x14ac:dyDescent="0.25">
      <c r="A9" s="4" t="s">
        <v>266</v>
      </c>
      <c r="B9" s="5" t="s">
        <v>267</v>
      </c>
    </row>
    <row r="10" ht="64" customHeight="1" spans="1:2" x14ac:dyDescent="0.25">
      <c r="A10" s="10" t="s">
        <v>268</v>
      </c>
      <c r="B10" s="11" t="s">
        <v>269</v>
      </c>
    </row>
    <row r="11" ht="44" customHeight="1" spans="1:2" x14ac:dyDescent="0.25">
      <c r="A11" s="4" t="s">
        <v>270</v>
      </c>
      <c r="B11" s="5" t="s">
        <v>271</v>
      </c>
    </row>
    <row r="12" ht="44" customHeight="1" spans="1:2" x14ac:dyDescent="0.25">
      <c r="A12" s="10" t="s">
        <v>272</v>
      </c>
      <c r="B12" s="11" t="s">
        <v>273</v>
      </c>
    </row>
    <row r="13" ht="44" customHeight="1" spans="1:2" x14ac:dyDescent="0.25">
      <c r="A13" s="4" t="s">
        <v>274</v>
      </c>
      <c r="B13" s="5" t="s">
        <v>275</v>
      </c>
    </row>
    <row r="14" ht="44" customHeight="1" spans="1:2" x14ac:dyDescent="0.25">
      <c r="A14" s="10" t="s">
        <v>276</v>
      </c>
      <c r="B14" s="11" t="s">
        <v>277</v>
      </c>
    </row>
    <row r="15" ht="44" customHeight="1" spans="1:2" x14ac:dyDescent="0.25">
      <c r="A15" s="4" t="s">
        <v>278</v>
      </c>
      <c r="B15" s="5" t="s">
        <v>279</v>
      </c>
    </row>
    <row r="16" ht="44" customHeight="1" spans="1:2" x14ac:dyDescent="0.25">
      <c r="A16" s="10" t="s">
        <v>280</v>
      </c>
      <c r="B16" s="11" t="s">
        <v>281</v>
      </c>
    </row>
  </sheetData>
  <mergeCells count="2">
    <mergeCell ref="A1:B1"/>
    <mergeCell ref="A2:B2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5A00"/>
    <pageSetUpPr fitToPage="1"/>
  </sheetPr>
  <dimension ref="A1:B15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2" customWidth="1"/>
    <col min="2" max="2" width="98" customWidth="1"/>
  </cols>
  <sheetData>
    <row r="1" ht="28" customHeight="1" spans="1:2" x14ac:dyDescent="0.25">
      <c r="A1" s="1" t="s">
        <v>282</v>
      </c>
      <c r="B1" s="1"/>
    </row>
    <row r="3" ht="28" customHeight="1" spans="1:2" s="3" customFormat="1" x14ac:dyDescent="0.25">
      <c r="A3" s="3" t="s">
        <v>283</v>
      </c>
      <c r="B3" s="3" t="s">
        <v>284</v>
      </c>
    </row>
    <row r="4" ht="44" customHeight="1" spans="1:2" x14ac:dyDescent="0.25">
      <c r="A4" s="12" t="s">
        <v>285</v>
      </c>
      <c r="B4" s="13" t="s">
        <v>286</v>
      </c>
    </row>
    <row r="5" ht="44" customHeight="1" spans="1:2" x14ac:dyDescent="0.25">
      <c r="A5" s="10" t="s">
        <v>287</v>
      </c>
      <c r="B5" s="11" t="s">
        <v>288</v>
      </c>
    </row>
    <row r="6" ht="44" customHeight="1" spans="1:2" x14ac:dyDescent="0.25">
      <c r="A6" s="4" t="s">
        <v>289</v>
      </c>
      <c r="B6" s="5" t="s">
        <v>290</v>
      </c>
    </row>
    <row r="7" ht="44" customHeight="1" spans="1:2" x14ac:dyDescent="0.25">
      <c r="A7" s="10" t="s">
        <v>291</v>
      </c>
      <c r="B7" s="11" t="s">
        <v>292</v>
      </c>
    </row>
    <row r="8" ht="44" customHeight="1" spans="1:2" x14ac:dyDescent="0.25">
      <c r="A8" s="4" t="s">
        <v>60</v>
      </c>
      <c r="B8" s="5" t="s">
        <v>293</v>
      </c>
    </row>
    <row r="9" ht="44" customHeight="1" spans="1:2" x14ac:dyDescent="0.25">
      <c r="A9" s="10" t="s">
        <v>294</v>
      </c>
      <c r="B9" s="11" t="s">
        <v>295</v>
      </c>
    </row>
    <row r="10" ht="44" customHeight="1" spans="1:2" x14ac:dyDescent="0.25">
      <c r="A10" s="4" t="s">
        <v>296</v>
      </c>
      <c r="B10" s="5" t="s">
        <v>297</v>
      </c>
    </row>
    <row r="11" ht="44" customHeight="1" spans="1:2" x14ac:dyDescent="0.25">
      <c r="A11" s="10" t="s">
        <v>298</v>
      </c>
      <c r="B11" s="11" t="s">
        <v>299</v>
      </c>
    </row>
    <row r="12" ht="44" customHeight="1" spans="1:2" x14ac:dyDescent="0.25">
      <c r="A12" s="4" t="s">
        <v>300</v>
      </c>
      <c r="B12" s="5" t="s">
        <v>301</v>
      </c>
    </row>
    <row r="13" ht="44" customHeight="1" spans="1:2" x14ac:dyDescent="0.25">
      <c r="A13" s="10" t="s">
        <v>302</v>
      </c>
      <c r="B13" s="11" t="s">
        <v>303</v>
      </c>
    </row>
    <row r="14" ht="44" customHeight="1" spans="1:2" x14ac:dyDescent="0.25">
      <c r="A14" s="4" t="s">
        <v>304</v>
      </c>
      <c r="B14" s="5" t="s">
        <v>305</v>
      </c>
    </row>
    <row r="15" ht="44" customHeight="1" spans="1:2" x14ac:dyDescent="0.25">
      <c r="A15" s="10" t="s">
        <v>306</v>
      </c>
      <c r="B15" s="11" t="s">
        <v>307</v>
      </c>
    </row>
  </sheetData>
  <mergeCells count="1">
    <mergeCell ref="A1:B1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E38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62" customWidth="1"/>
    <col min="2" max="2" width="16" customWidth="1"/>
    <col min="3" max="3" width="12" customWidth="1"/>
    <col min="4" max="4" width="18" customWidth="1"/>
    <col min="5" max="5" width="62" customWidth="1"/>
  </cols>
  <sheetData>
    <row r="1" ht="28" customHeight="1" spans="1:5" x14ac:dyDescent="0.25">
      <c r="A1" s="1" t="s">
        <v>308</v>
      </c>
      <c r="B1" s="1"/>
      <c r="C1" s="1"/>
      <c r="D1" s="1"/>
      <c r="E1" s="1"/>
    </row>
    <row r="2" ht="40" customHeight="1" spans="1:5" x14ac:dyDescent="0.25">
      <c r="A2" s="2" t="s">
        <v>309</v>
      </c>
      <c r="B2" s="2"/>
      <c r="C2" s="2"/>
      <c r="D2" s="2"/>
      <c r="E2" s="2"/>
    </row>
    <row r="3" ht="28" customHeight="1" spans="1:5" s="3" customFormat="1" x14ac:dyDescent="0.25">
      <c r="A3" s="3" t="s">
        <v>310</v>
      </c>
      <c r="B3" s="3" t="s">
        <v>311</v>
      </c>
      <c r="C3" s="3" t="s">
        <v>312</v>
      </c>
      <c r="D3" s="3" t="s">
        <v>313</v>
      </c>
      <c r="E3" s="3" t="s">
        <v>314</v>
      </c>
    </row>
    <row r="4" ht="22" customHeight="1" spans="1:5" x14ac:dyDescent="0.25">
      <c r="A4" t="s">
        <v>315</v>
      </c>
      <c r="B4" s="18">
        <v>351.78</v>
      </c>
      <c r="C4">
        <v>1</v>
      </c>
      <c r="D4" s="18">
        <f>B4*C4</f>
      </c>
      <c r="E4" t="s">
        <v>316</v>
      </c>
    </row>
    <row r="5" ht="22" customHeight="1" spans="1:5" x14ac:dyDescent="0.25">
      <c r="A5" t="s">
        <v>317</v>
      </c>
      <c r="B5" s="18">
        <v>35</v>
      </c>
      <c r="C5">
        <v>4</v>
      </c>
      <c r="D5" s="18">
        <f>B5*C5</f>
      </c>
      <c r="E5" t="s">
        <v>318</v>
      </c>
    </row>
    <row r="6" ht="22" customHeight="1" spans="1:5" x14ac:dyDescent="0.25">
      <c r="A6" t="s">
        <v>319</v>
      </c>
      <c r="B6" s="18">
        <v>20</v>
      </c>
      <c r="C6">
        <v>2</v>
      </c>
      <c r="D6" s="18">
        <f>B6*C6</f>
      </c>
      <c r="E6" t="s">
        <v>320</v>
      </c>
    </row>
    <row r="7" ht="22" customHeight="1" spans="1:5" x14ac:dyDescent="0.25">
      <c r="A7" t="s">
        <v>321</v>
      </c>
      <c r="B7" s="18">
        <v>16.81</v>
      </c>
      <c r="C7">
        <v>1</v>
      </c>
      <c r="D7" s="18">
        <f>B7*C7</f>
      </c>
      <c r="E7" t="s">
        <v>322</v>
      </c>
    </row>
    <row r="8" ht="22" customHeight="1" spans="1:5" x14ac:dyDescent="0.25">
      <c r="A8" t="s">
        <v>323</v>
      </c>
      <c r="B8" s="18">
        <v>20.58</v>
      </c>
      <c r="C8">
        <v>1</v>
      </c>
      <c r="D8" s="18">
        <f>B8*C8</f>
      </c>
      <c r="E8" t="s">
        <v>324</v>
      </c>
    </row>
    <row r="9" ht="22" customHeight="1" spans="1:5" x14ac:dyDescent="0.25">
      <c r="A9" t="s">
        <v>325</v>
      </c>
      <c r="B9" s="18">
        <v>299</v>
      </c>
      <c r="C9">
        <v>1</v>
      </c>
      <c r="D9" s="18">
        <f>B9*C9</f>
      </c>
      <c r="E9" t="s">
        <v>326</v>
      </c>
    </row>
    <row r="10" ht="22" customHeight="1" spans="1:5" x14ac:dyDescent="0.25">
      <c r="A10" t="s">
        <v>327</v>
      </c>
      <c r="B10" s="18">
        <v>108.18</v>
      </c>
      <c r="C10">
        <v>1</v>
      </c>
      <c r="D10" s="18">
        <f>B10*C10</f>
      </c>
      <c r="E10" t="s">
        <v>328</v>
      </c>
    </row>
    <row r="11" ht="22" customHeight="1" spans="1:5" x14ac:dyDescent="0.25">
      <c r="A11" t="s">
        <v>329</v>
      </c>
      <c r="B11" s="18">
        <v>26.39</v>
      </c>
      <c r="C11">
        <v>1</v>
      </c>
      <c r="D11" s="18">
        <f>B11*C11</f>
      </c>
      <c r="E11" t="s">
        <v>330</v>
      </c>
    </row>
    <row r="12" ht="22" customHeight="1" spans="1:5" x14ac:dyDescent="0.25">
      <c r="A12" t="s">
        <v>331</v>
      </c>
      <c r="B12" s="18">
        <v>8</v>
      </c>
      <c r="C12">
        <v>2</v>
      </c>
      <c r="D12" s="18">
        <f>B12*C12</f>
      </c>
      <c r="E12" t="s">
        <v>332</v>
      </c>
    </row>
    <row r="13" spans="1:4" s="17" customFormat="1" x14ac:dyDescent="0.25">
      <c r="A13" s="30" t="s">
        <v>333</v>
      </c>
      <c r="D13" s="31">
        <f>SUM(D4:D12)</f>
      </c>
    </row>
    <row r="15" ht="22" customHeight="1" spans="1:5" x14ac:dyDescent="0.25">
      <c r="A15" s="2" t="s">
        <v>334</v>
      </c>
      <c r="B15" s="2"/>
      <c r="C15" s="2"/>
      <c r="D15" s="2"/>
      <c r="E15" s="2"/>
    </row>
    <row r="16" spans="1:2" x14ac:dyDescent="0.25">
      <c r="A16" s="15" t="s">
        <v>335</v>
      </c>
      <c r="B16" s="32">
        <v>500</v>
      </c>
    </row>
    <row r="17" spans="1:2" x14ac:dyDescent="0.25">
      <c r="A17" s="15" t="s">
        <v>336</v>
      </c>
      <c r="B17" s="32">
        <v>1000</v>
      </c>
    </row>
    <row r="18" spans="1:2" x14ac:dyDescent="0.25">
      <c r="A18" s="15" t="s">
        <v>337</v>
      </c>
      <c r="B18" s="32">
        <v>6</v>
      </c>
    </row>
    <row r="19" spans="1:2" x14ac:dyDescent="0.25">
      <c r="A19" s="15" t="s">
        <v>338</v>
      </c>
      <c r="B19" s="32">
        <v>8</v>
      </c>
    </row>
    <row r="20" spans="1:2" x14ac:dyDescent="0.25">
      <c r="A20" s="15" t="s">
        <v>339</v>
      </c>
      <c r="B20" s="20">
        <v>0.1</v>
      </c>
    </row>
    <row r="21" spans="1:2" x14ac:dyDescent="0.25">
      <c r="A21" s="15" t="s">
        <v>340</v>
      </c>
      <c r="B21" s="33">
        <f>ROUND(B16*B18*(1+B20),0)</f>
      </c>
    </row>
    <row r="22" spans="1:2" x14ac:dyDescent="0.25">
      <c r="A22" s="15" t="s">
        <v>341</v>
      </c>
      <c r="B22" s="33">
        <f>ROUND(B17*B19*(1+B20),0)</f>
      </c>
    </row>
    <row r="23" spans="1:2" x14ac:dyDescent="0.25">
      <c r="A23" s="15" t="s">
        <v>342</v>
      </c>
      <c r="B23" s="34">
        <f>16.81/20</f>
      </c>
    </row>
    <row r="24" spans="1:4" s="16" customFormat="1" x14ac:dyDescent="0.25">
      <c r="A24" s="35" t="s">
        <v>343</v>
      </c>
      <c r="D24" s="19">
        <f>B21*B23</f>
      </c>
    </row>
    <row r="25" spans="1:4" s="16" customFormat="1" x14ac:dyDescent="0.25">
      <c r="A25" s="35" t="s">
        <v>344</v>
      </c>
      <c r="D25" s="19">
        <f>B22*B23</f>
      </c>
    </row>
    <row r="27" ht="40" customHeight="1" spans="1:5" x14ac:dyDescent="0.25">
      <c r="A27" s="2" t="s">
        <v>345</v>
      </c>
      <c r="B27" s="2"/>
      <c r="C27" s="2"/>
      <c r="D27" s="2"/>
      <c r="E27" s="2"/>
    </row>
    <row r="29" ht="22" customHeight="1" spans="1:5" x14ac:dyDescent="0.25">
      <c r="A29" s="2" t="s">
        <v>346</v>
      </c>
      <c r="B29" s="2"/>
      <c r="C29" s="2"/>
      <c r="D29" s="2"/>
      <c r="E29" s="2"/>
    </row>
    <row r="30" ht="32" customHeight="1" spans="1:5" x14ac:dyDescent="0.25">
      <c r="A30" s="9" t="s">
        <v>347</v>
      </c>
      <c r="B30" s="27">
        <v>23.66</v>
      </c>
      <c r="C30" s="9">
        <v>0</v>
      </c>
      <c r="D30" s="27">
        <f>B30*C30</f>
      </c>
      <c r="E30" s="9" t="s">
        <v>348</v>
      </c>
    </row>
    <row r="31" ht="32" customHeight="1" spans="1:5" x14ac:dyDescent="0.25">
      <c r="A31" s="9" t="s">
        <v>349</v>
      </c>
      <c r="B31" s="27">
        <v>30.94</v>
      </c>
      <c r="C31" s="9">
        <v>0</v>
      </c>
      <c r="D31" s="27">
        <f>B31*C31</f>
      </c>
      <c r="E31" s="9" t="s">
        <v>350</v>
      </c>
    </row>
    <row r="32" ht="32" customHeight="1" spans="1:5" x14ac:dyDescent="0.25">
      <c r="A32" s="9" t="s">
        <v>351</v>
      </c>
      <c r="B32" s="27">
        <v>36.8</v>
      </c>
      <c r="C32" s="9">
        <v>0</v>
      </c>
      <c r="D32" s="27">
        <f>B32*C32</f>
      </c>
      <c r="E32" s="9" t="s">
        <v>352</v>
      </c>
    </row>
    <row r="33" spans="1:4" x14ac:dyDescent="0.25">
      <c r="A33" s="15" t="s">
        <v>353</v>
      </c>
      <c r="D33" s="18">
        <f>SUM(D30:D32)</f>
      </c>
    </row>
    <row r="35" ht="22" customHeight="1" spans="1:5" x14ac:dyDescent="0.25">
      <c r="A35" s="2" t="s">
        <v>354</v>
      </c>
      <c r="B35" s="2"/>
      <c r="C35" s="2"/>
      <c r="D35" s="2"/>
      <c r="E35" s="2"/>
    </row>
    <row r="36" ht="36" customHeight="1" spans="1:5" x14ac:dyDescent="0.25">
      <c r="A36" s="4" t="s">
        <v>355</v>
      </c>
      <c r="B36" s="36">
        <f>B4+B5*4+B6*2</f>
      </c>
      <c r="C36" s="5">
        <v>2</v>
      </c>
      <c r="D36" s="36">
        <f>B36*C36</f>
      </c>
      <c r="E36" s="5" t="s">
        <v>356</v>
      </c>
    </row>
    <row r="38" ht="40" customHeight="1" spans="1:5" x14ac:dyDescent="0.25">
      <c r="A38" s="2" t="s">
        <v>357</v>
      </c>
      <c r="B38" s="2"/>
      <c r="C38" s="2"/>
      <c r="D38" s="2"/>
      <c r="E38" s="2"/>
    </row>
  </sheetData>
  <mergeCells count="7">
    <mergeCell ref="A1:E1"/>
    <mergeCell ref="A2:E2"/>
    <mergeCell ref="A15:E15"/>
    <mergeCell ref="A27:E27"/>
    <mergeCell ref="A29:E29"/>
    <mergeCell ref="A35:E35"/>
    <mergeCell ref="A38:E38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  <pageSetUpPr fitToPage="1"/>
  </sheetPr>
  <dimension ref="A1:B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6" customWidth="1"/>
    <col min="2" max="2" width="96" customWidth="1"/>
  </cols>
  <sheetData>
    <row r="1" ht="28" customHeight="1" spans="1:2" x14ac:dyDescent="0.25">
      <c r="A1" s="1" t="s">
        <v>358</v>
      </c>
      <c r="B1" s="1"/>
    </row>
    <row r="3" ht="28" customHeight="1" spans="1:2" s="3" customFormat="1" x14ac:dyDescent="0.25">
      <c r="A3" s="3" t="s">
        <v>359</v>
      </c>
      <c r="B3" s="3" t="s">
        <v>360</v>
      </c>
    </row>
    <row r="4" ht="40" customHeight="1" spans="1:2" x14ac:dyDescent="0.25">
      <c r="A4" s="37" t="s">
        <v>361</v>
      </c>
      <c r="B4" s="37" t="s">
        <v>362</v>
      </c>
    </row>
    <row r="5" ht="40" customHeight="1" spans="1:2" x14ac:dyDescent="0.25">
      <c r="A5" s="37" t="s">
        <v>363</v>
      </c>
      <c r="B5" s="37" t="s">
        <v>364</v>
      </c>
    </row>
    <row r="6" ht="40" customHeight="1" spans="1:2" x14ac:dyDescent="0.25">
      <c r="A6" s="37" t="s">
        <v>365</v>
      </c>
      <c r="B6" s="37" t="s">
        <v>366</v>
      </c>
    </row>
    <row r="7" ht="40" customHeight="1" spans="1:2" x14ac:dyDescent="0.25">
      <c r="A7" s="37" t="s">
        <v>367</v>
      </c>
      <c r="B7" s="37" t="s">
        <v>368</v>
      </c>
    </row>
    <row r="8" ht="40" customHeight="1" spans="1:2" x14ac:dyDescent="0.25">
      <c r="A8" s="37" t="s">
        <v>369</v>
      </c>
      <c r="B8" s="37" t="s">
        <v>370</v>
      </c>
    </row>
    <row r="9" ht="40" customHeight="1" spans="1:2" x14ac:dyDescent="0.25">
      <c r="A9" s="37" t="s">
        <v>371</v>
      </c>
      <c r="B9" s="37" t="s">
        <v>372</v>
      </c>
    </row>
    <row r="10" ht="40" customHeight="1" spans="1:2" x14ac:dyDescent="0.25">
      <c r="A10" s="37" t="s">
        <v>373</v>
      </c>
      <c r="B10" s="37" t="s">
        <v>374</v>
      </c>
    </row>
    <row r="11" ht="40" customHeight="1" spans="1:2" x14ac:dyDescent="0.25">
      <c r="A11" s="37" t="s">
        <v>375</v>
      </c>
      <c r="B11" s="37" t="s">
        <v>376</v>
      </c>
    </row>
    <row r="12" ht="40" customHeight="1" spans="1:2" x14ac:dyDescent="0.25">
      <c r="A12" s="37" t="s">
        <v>377</v>
      </c>
      <c r="B12" s="37" t="s">
        <v>378</v>
      </c>
    </row>
    <row r="13" ht="40" customHeight="1" spans="1:2" x14ac:dyDescent="0.25">
      <c r="A13" s="37" t="s">
        <v>379</v>
      </c>
      <c r="B13" s="37" t="s">
        <v>380</v>
      </c>
    </row>
    <row r="14" ht="40" customHeight="1" spans="1:2" x14ac:dyDescent="0.25">
      <c r="A14" s="37" t="s">
        <v>381</v>
      </c>
      <c r="B14" s="37" t="s">
        <v>382</v>
      </c>
    </row>
    <row r="15" ht="40" customHeight="1" spans="1:2" x14ac:dyDescent="0.25">
      <c r="A15" s="37" t="s">
        <v>383</v>
      </c>
      <c r="B15" s="37" t="s">
        <v>384</v>
      </c>
    </row>
    <row r="16" ht="36" customHeight="1" spans="1:2" x14ac:dyDescent="0.25">
      <c r="A16" s="2" t="s">
        <v>385</v>
      </c>
      <c r="B16" s="2"/>
    </row>
  </sheetData>
  <mergeCells count="2">
    <mergeCell ref="A1:B1"/>
    <mergeCell ref="A16:B16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сверка с GitHub 10 октября 2026 · не юридическое заключение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С чего начать</vt:lpstr>
      <vt:lpstr>Что на GitHub</vt:lpstr>
      <vt:lpstr>Проход кейса</vt:lpstr>
      <vt:lpstr>Частоты и мощность</vt:lpstr>
      <vt:lpstr>Растаможка</vt:lpstr>
      <vt:lpstr>Сравнение</vt:lpstr>
      <vt:lpstr>Каталог AliExpress</vt:lpstr>
      <vt:lpstr>Не покупать</vt:lpstr>
      <vt:lpstr>Интеграция API</vt:lpstr>
      <vt:lpstr>Что ещё учесть</vt:lpstr>
      <vt:lpstr>Смета</vt:lpstr>
      <vt:lpstr>Источники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LED Warehouse</dc:creator>
  <dc:title>Рамка на проём 2 м, бирка на каждый кубик, Израиль</dc:title>
  <dc:subject/>
  <dc:description/>
  <cp:keywords/>
  <cp:category/>
  <cp:lastModifiedBy>Unknown</cp:lastModifiedBy>
  <dcterms:created xsi:type="dcterms:W3CDTF">2026-10-08T17:30:00Z</dcterms:created>
  <dcterms:modified xsi:type="dcterms:W3CDTF">2026-10-10T11:48:28Z</dcterms:modified>
</cp:coreProperties>
</file>