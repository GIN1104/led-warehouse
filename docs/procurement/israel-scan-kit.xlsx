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 чего начать" state="visible" r:id="rId4"/>
    <sheet sheetId="2" name="Частоты Израиля" state="visible" r:id="rId5"/>
    <sheet sheetId="3" name="Растаможка" state="visible" r:id="rId6"/>
    <sheet sheetId="4" name="Сравнение" state="visible" r:id="rId7"/>
    <sheet sheetId="5" name="Каталог AliExpress" state="visible" r:id="rId8"/>
    <sheet sheetId="6" name="Не покупать" state="visible" r:id="rId9"/>
    <sheet sheetId="7" name="Интеграция API" state="visible" r:id="rId10"/>
    <sheet sheetId="8" name="Что ещё учесть" state="visible" r:id="rId11"/>
    <sheet sheetId="9" name="Смета" state="visible" r:id="rId12"/>
    <sheet sheetId="10" name="Источники" state="visible" r:id="rId13"/>
  </sheets>
  <calcPr calcId="171027"/>
</workbook>
</file>

<file path=xl/sharedStrings.xml><?xml version="1.0" encoding="utf-8"?>
<sst xmlns="http://schemas.openxmlformats.org/spreadsheetml/2006/main" count="314" uniqueCount="288">
  <si>
    <t>Что покупать для склада LED в Израиле</t>
  </si>
  <si>
    <t>Короткий вывод на 8 октября 2026. Рамку UHF с AliExpress включать в дверях склада сейчас нельзя: в Израиле пассивный UHF RFID разрешён в узкой полосе 915–917 МГц при мощности до 2 Вт EIRP. Большинство дешёвых рамок прыгают по европейской 865–868 МГц или по американской 902–928 МГц. Обе эти настройки для Израиля не подходят. Склад уже принимает скан по API, поэтому первый комплект — штрихкод, а радиорамка только вторым шагом после фиксации частоты и вопроса в משרד התקשורת.</t>
  </si>
  <si>
    <t>Шаг</t>
  </si>
  <si>
    <t>Решение</t>
  </si>
  <si>
    <t>Сейчас</t>
  </si>
  <si>
    <t>Два беспроводных 2D-сканера Bluetooth, принтер термотрансферных этикеток и флажки на кабели. Это закрывает приход, расход и заказ из mapper. Полоса 2400–2483,5 МГц до 100 мВт по ETSI EN 300 328 есть в списке изъятий Министерства связи. UHF-передатчика в комплекте нет.</t>
  </si>
  <si>
    <t>Проба металла</t>
  </si>
  <si>
    <t>20 антиметаллических UHF-бирок ABS на реальные алюминиевые кабинеты. Покупать тысячу бирок и рамку до этой пробы не нужно: обычная наклейка на металле молчит.</t>
  </si>
  <si>
    <t>Рамка</t>
  </si>
  <si>
    <t>Фиксированный считыватель Impinj E710 или R2000 с SDK, в котором таблица частот ставится только на 915–917 МГц, плюс две антенны у двери. Мощность с учётом усиления антенны не выше 2 Вт EIRP. Включать после ответа Министерства связи.</t>
  </si>
  <si>
    <t>Не брать</t>
  </si>
  <si>
    <t>Считыватели с надписью только 865–868 МГц, полный американский хоп 902–928 МГц, китайский 920–925 МГц, антенны 433 МГц, клонеры ключей 125 кГц и бумажные UHF-инлеи на алюминий.</t>
  </si>
  <si>
    <t>Цены ниже сняты с витрины AliExpress 8 октября 2026 в долларах США, без доставки и без израильских налогов. Карточка может смениться. Перед оплатой напишите продавцу: «Lock transmit frequency to 915–917 MHz only, max 2 W EIRP. Do not ship EU 865–868 or full FCC 902–928 hopping.» Если продавец отвечает только «global 860–960», это не настройка под Израиль.</t>
  </si>
  <si>
    <t>Какие частоты можно, а какие для этого склада закрыты</t>
  </si>
  <si>
    <t>Основание по UHF RFID: обзор GS1 «UHF allocations for RFID». Для Израиля там указано 915–917 МГц, 2 Вт EIRP, регламент от 27.08.2012, отдельные пределы побочного излучения. Более ранний отчёт ITU-R SM.2255 пишет ещё уже: 915–916,8 МГц и те же пределы вне полосы. Это отраслевые сводки, не текст приказа. Перед включением передатчика нужен ответ משרד התקשורת (requests@moc.gov.il, 03-5198282).</t>
  </si>
  <si>
    <t>Диапазон</t>
  </si>
  <si>
    <t>Для склада в Израиле</t>
  </si>
  <si>
    <t>Почему</t>
  </si>
  <si>
    <t>915–917 МГц, до 2 Вт EIRP</t>
  </si>
  <si>
    <t>Единственная полоса UHF RFID</t>
  </si>
  <si>
    <t>Пассивные бирки EPC Gen2 / ISO 18000-6C. Мощность считается вместе с антенной: 30 дБм с антенны плюс 8 дБи антенны уже около 6 Вт и выходят за 2 Вт.</t>
  </si>
  <si>
    <t>Ниже 915 и выше 917 МГц</t>
  </si>
  <si>
    <t>Передача запрещена пределами OoB</t>
  </si>
  <si>
    <t>GS1: вне полосы излучение ограничено. Американский хоп 902–928 МГц задевает обе запретные зоны.</t>
  </si>
  <si>
    <t>865–868 МГц, европейские 2 Вт ERP</t>
  </si>
  <si>
    <t>Не полоса Израиля</t>
  </si>
  <si>
    <t>Европейская рамка с AliExpress здесь не «просто тише». Она передаёт в другой полосе.</t>
  </si>
  <si>
    <t>920–925 МГц, Китай</t>
  </si>
  <si>
    <t>Частая заводская настройка модулей R2000. Её нужно сменить до первого включения, если SDK это позволяет.</t>
  </si>
  <si>
    <t>2,400–2,483,5 ГГц, Bluetooth и Wi-Fi</t>
  </si>
  <si>
    <t>Подходит для сканера и планшета</t>
  </si>
  <si>
    <t>В תקנות הטלגרף האלחוטי (אישורי התאמה), תשפ"א-2021, строка 49: эта полоса до 100 мВт по ETSI EN 300 328. Это путь без UHF-передатчика.</t>
  </si>
  <si>
    <t>13,56 МГц, NFC и HF</t>
  </si>
  <si>
    <t>Только касание, не рамка двери</t>
  </si>
  <si>
    <t>Дальность сантиметры. Для ворот склада не берём.</t>
  </si>
  <si>
    <t>433,92 МГц</t>
  </si>
  <si>
    <t>Не RFID склада</t>
  </si>
  <si>
    <t>Это пульты ворот и брелоки. Карточки «антенна для рамки» на этой частоте к биркам кабинетов не относятся.</t>
  </si>
  <si>
    <t>125 кГц</t>
  </si>
  <si>
    <t>Клонеры домофонных ключей. К учёту кабинетов отношения не имеют.</t>
  </si>
  <si>
    <t>Типовое одобрение радио выдаёт Министерство связи израильскому импортёру. Отчёты ETSI или FCC помогают, но сами по себе не разрешают передачу. Наклейка CE или FCC на коробке с AliExpress не заменяет это одобрение. Личный ввоз до 5 штук иногда описывают как упрощённый, но складской комплект для услуг проката — коммерческий ввоз, не личная посылка.</t>
  </si>
  <si>
    <t>Ввоз в Израиль: что закладывать в цену</t>
  </si>
  <si>
    <t>НДС в 2026 году — 18%. С 2 июня 2026 порог личного ввоза снова 75 долларов США по стоимости товара, без доставки: до 75 USD нет НДС и пошлины; от 75 до 500 USD пошлины нет, НДС 18% на товар и доставку; выше 500 USD добавляется пошлина по коду товара. Источник порога: ICL Global, 02.06.2026. Калькуляторы часто подставляют 12% пошлины как пример. Фактическую ставку называет таможня по ТН ВЭД.</t>
  </si>
  <si>
    <t>Тема</t>
  </si>
  <si>
    <t>Как считать</t>
  </si>
  <si>
    <t>Личный порог 75 USD</t>
  </si>
  <si>
    <t>Он для личной или семейной посылки, не для снабжения и не для оказания услуг. Оборудование склада проката под него не подгоняем и посылки ради порога не дробим.</t>
  </si>
  <si>
    <t>Коммерческий ввоз</t>
  </si>
  <si>
    <t>Декларация, код товара, НДС 18%. У עוסק מורשה НДС с импорта обычно идёт к зачёту. Пошлина зависит от кода: сканер данных и радиопередатчик могут попасть в разные группы.</t>
  </si>
  <si>
    <t>Радио</t>
  </si>
  <si>
    <t>UHF-считыватель — передатчик. Посылку могут удержать до проверки Министерства связи, даже если сумма маленькая. Bluetooth-сканер без UHF проходит проще.</t>
  </si>
  <si>
    <t>Вилка и сеть</t>
  </si>
  <si>
    <t>В Израиле 230 В, 50 Гц, вилка типа H (SI 32). Блок считывателя чаще с европейской или американской вилкой. Нужен переходник или местный блок 100–240 В.</t>
  </si>
  <si>
    <t>Срок</t>
  </si>
  <si>
    <t>AliExpress пишет «бесплатная доставка», таможня и связь добавляют дни. Рамку не ставить в график выезда, пока посылка не выпущена и частота не проверена.</t>
  </si>
  <si>
    <t>Оценка «как личная посылка» ниже только для понимания шкалы. Для склада её не применяем. Подставьте цену товара и доставку. Если товар дороже 500 USD, в ячейку пошлины поставьте ставку из таможенного тарифа, не оставляйте примерные 12%.</t>
  </si>
  <si>
    <t>Цена товара, USD</t>
  </si>
  <si>
    <t>Доставка, USD</t>
  </si>
  <si>
    <t>Ставка пошлины, если товар &gt; 500 USD</t>
  </si>
  <si>
    <t>Пошлина, USD</t>
  </si>
  <si>
    <t>НДС 18%, если товар &gt; 75 USD</t>
  </si>
  <si>
    <t>Итого с налогом личной шкалы, USD</t>
  </si>
  <si>
    <t>Четыре способа читать груз. Для этого склада оставляем два.</t>
  </si>
  <si>
    <t>Кабинеты алюминиевые, кабели лежат бухтами, в дверном проёме рядом металл кейса и кузов машины. Рамка без дисциплины читает соседний стеллаж. Поэтому сравнение не по дальности из карточки, а по тому, доживёт ли учёт до API склада.</t>
  </si>
  <si>
    <t/>
  </si>
  <si>
    <t>Штрихкод и QR</t>
  </si>
  <si>
    <t>UHF, ручной, 915–917</t>
  </si>
  <si>
    <t>UHF-рамка на двери</t>
  </si>
  <si>
    <t>HF 13,56 МГц</t>
  </si>
  <si>
    <t>Закон в Израиле</t>
  </si>
  <si>
    <t>Bluetooth 2,4 ГГц, без UHF</t>
  </si>
  <si>
    <t>Полоса есть, мощность и одобрение передатчика отдельно</t>
  </si>
  <si>
    <t>То же радио плюс риск превысить 2 Вт антенной</t>
  </si>
  <si>
    <t>Не рамка</t>
  </si>
  <si>
    <t>Алюминиевый кабинет</t>
  </si>
  <si>
    <t>Полиэстеровая этикетка клеится на торец</t>
  </si>
  <si>
    <t>Только on-metal бирка с зазором</t>
  </si>
  <si>
    <t>Та же бирка, чтение пачкой</t>
  </si>
  <si>
    <t>На металле молчит</t>
  </si>
  <si>
    <t>Кабель powerCON и EtherCON</t>
  </si>
  <si>
    <t>Флажок вокруг кабеля</t>
  </si>
  <si>
    <t>Бирка на бухте путает количество</t>
  </si>
  <si>
    <t>Рамка не отличает кабель в тележке от кабеля на стеллаже</t>
  </si>
  <si>
    <t>Не подходит</t>
  </si>
  <si>
    <t>Скорость выхода</t>
  </si>
  <si>
    <t>По штуке, человек на двери</t>
  </si>
  <si>
    <t>Пачка в руке, 1–3 м</t>
  </si>
  <si>
    <t>Тележка целиком, если бирки живые</t>
  </si>
  <si>
    <t>Касание каждой бирки</t>
  </si>
  <si>
    <t>Ошибки</t>
  </si>
  <si>
    <t>Пропуск, если не поднесли</t>
  </si>
  <si>
    <t>Чужой кабинет в луче</t>
  </si>
  <si>
    <t>Двойной проход, отражение, нет направления без двух антенн</t>
  </si>
  <si>
    <t>Мало</t>
  </si>
  <si>
    <t>Связь со складом</t>
  </si>
  <si>
    <t>Сканер печатает код в поле или Android шлёт POST</t>
  </si>
  <si>
    <t>Программа на Android пишет EPC и шлёт POST</t>
  </si>
  <si>
    <t>Сервис у ридера переводит EPC в код номенклатуры</t>
  </si>
  <si>
    <t>Не закладываем</t>
  </si>
  <si>
    <t>Деньги на старт</t>
  </si>
  <si>
    <t>около 150–300 USD</t>
  </si>
  <si>
    <t>около 300–900 USD плюс бирки</t>
  </si>
  <si>
    <t>около 400–800 USD плюс антенны и монтаж</t>
  </si>
  <si>
    <t>Не покупаем</t>
  </si>
  <si>
    <t>Когда</t>
  </si>
  <si>
    <t>Первый комплект</t>
  </si>
  <si>
    <t>После 20 бирок на своих кабинетах</t>
  </si>
  <si>
    <t>После стабильного ручного чтения и ответа Министерства связи</t>
  </si>
  <si>
    <t>Нет</t>
  </si>
  <si>
    <t>Карточки с AliExpress на 8 октября 2026</t>
  </si>
  <si>
    <t>Фото с витрины продавца. Цена — нижняя цена поиска в тот день, без доставки. Ссылка ведёт на карточку. Зелёная строка — можно заказывать как первый комплект. Жёлтая — только после письма продавцу про 915–917 МГц и пробы на металле. В колонке «шт» — стартовый склад на один выездной парк, не на всю страну.</t>
  </si>
  <si>
    <t>Фото</t>
  </si>
  <si>
    <t>Этап</t>
  </si>
  <si>
    <t>Зачем</t>
  </si>
  <si>
    <t>Карточка</t>
  </si>
  <si>
    <t>USD</t>
  </si>
  <si>
    <t>Частота</t>
  </si>
  <si>
    <t>Вердикт для Израиля</t>
  </si>
  <si>
    <t>Как использовать</t>
  </si>
  <si>
    <t>Шт</t>
  </si>
  <si>
    <t>Сканер на двери и в зоне приёмки</t>
  </si>
  <si>
    <t>NETUM L8BLPro, Bluetooth, 2D, QR, PDF417</t>
  </si>
  <si>
    <t>Bluetooth 2,4 ГГц</t>
  </si>
  <si>
    <t>Берём</t>
  </si>
  <si>
    <t>Режим клавиатуры: в поле скана склада печатает код CAB-P39 и Enter. Второй такой же держать запасным.</t>
  </si>
  <si>
    <t>Этикетки, которые не выгорают в кузове</t>
  </si>
  <si>
    <t>Niimbot M2, термотрансфер, 300 dpi, ширина 20–50 мм</t>
  </si>
  <si>
    <t>Нет радио</t>
  </si>
  <si>
    <t>Печатает код номенклатуры и QR. Термотрансфер с лентой держится лучше прямой термопечати. Сразу заказать ленту и полиэстеровые ролики.</t>
  </si>
  <si>
    <t>Бирка на кабель, а не на металл кабинета</t>
  </si>
  <si>
    <t>Флажки P-type, самоламинирующиеся, под печать</t>
  </si>
  <si>
    <t>Один флажок на бухту или на отрезок, который уходит отдельной строкой заказа. Текст: код склада и длина.</t>
  </si>
  <si>
    <t>Телефон склада, если своего аппарата жалко</t>
  </si>
  <si>
    <t>Android-терминал, Honeywell 2D, 4G, Wi-Fi, IP65</t>
  </si>
  <si>
    <t>Wi-Fi и LTE  — проверить диапазоны у продавца</t>
  </si>
  <si>
    <t>Берём, если телефон не тянет</t>
  </si>
  <si>
    <t>Стоит у двери, шлёт POST на сервер склада. Перед заказом спросить, держит ли LTE полосы Израиля. Иначе хватит сканера и обычного телефона в той же сети.</t>
  </si>
  <si>
    <t>Запасной принтер</t>
  </si>
  <si>
    <t>Широкая этикетка на кейс</t>
  </si>
  <si>
    <t>Термопринтер 4×6, 203 dpi, USB или Bluetooth</t>
  </si>
  <si>
    <t>Только как дешёвая замена</t>
  </si>
  <si>
    <t>Прямая термопечать на солнце и в кузове сереет. На кабинеты лучше M2 с лентой. Этот принтер годится для внутренних бумажных ярлыков.</t>
  </si>
  <si>
    <t>Проба</t>
  </si>
  <si>
    <t>Бирка на алюминиевый кабинет</t>
  </si>
  <si>
    <t>ABS anti-metal, ISO 18000-6C, 860–960 МГц, чип U8/U9/H3, 20 шт</t>
  </si>
  <si>
    <t>Бирка широкополосная, читается и на 915–917</t>
  </si>
  <si>
    <t>Сначала 20 штук, не ящик</t>
  </si>
  <si>
    <t>Клеить на ровный торец кабинета, не на ребро и не на пучок кабелей. В EPC записать код склада. Бумажный инлей рядом не клеить.</t>
  </si>
  <si>
    <t>Бирка туда, где жарко или моют</t>
  </si>
  <si>
    <t>PCB anti-metal, температура и химия, 20 шт</t>
  </si>
  <si>
    <t>860–960 МГц, чип под 915 МГц подходит</t>
  </si>
  <si>
    <t>Вместе с ABS-пробой</t>
  </si>
  <si>
    <t>Сравнить на одном и том же кабинете P3.9: какая читается ручным считывателем с 1 м. Победившую и заказывать пачкой.</t>
  </si>
  <si>
    <t>После пробы</t>
  </si>
  <si>
    <t>Ручной UHF плюс штрихкод</t>
  </si>
  <si>
    <t>Android 15 PDA, 6 дюймов, UHF и 1D/2D, 4+64 ГБ</t>
  </si>
  <si>
    <t>Должен запираться на 915–917 МГц</t>
  </si>
  <si>
    <t>Письмо продавцу до оплаты</t>
  </si>
  <si>
    <t>Просить скрин настройки региона. Если в списке только EU, FCC и China, не брать. Мощность снизить так, чтобы с антенной вышло не больше 2 Вт EIRP.</t>
  </si>
  <si>
    <t>Пистолет, если PDA неудобна у кейса</t>
  </si>
  <si>
    <t>Android 11, UHF gun, есть 2D-сканер</t>
  </si>
  <si>
    <t>Та же проверка 915–917</t>
  </si>
  <si>
    <t>Дороже, брать одну, не обе</t>
  </si>
  <si>
    <t>Имеет смысл, если рукой надо читать стеллаж с расстояния. Для старта избыточна: сначала PDA за 299 USD.</t>
  </si>
  <si>
    <t>Именной промышленный терминал</t>
  </si>
  <si>
    <t>Chainway C72, Android 13, UHF, Zebra 1D/2D, NFC</t>
  </si>
  <si>
    <t>У Chainway регион прошивки выбирается</t>
  </si>
  <si>
    <t>Если продавец подтвердит Израиль</t>
  </si>
  <si>
    <t>Дороже безымянных PDA, зато известный SDK. Всё равно не включать, пока частота не зафиксирована.</t>
  </si>
  <si>
    <t>Рамка, мозг</t>
  </si>
  <si>
    <t>Фиксированный ридер у двери</t>
  </si>
  <si>
    <t>CHAFON CF815, Impinj E710, заявлено 15 м, бесплатный SDK</t>
  </si>
  <si>
    <t>E710 умеет таблицу частот, заводская может быть чужой</t>
  </si>
  <si>
    <t>Только с фиксацией 915–917 и двумя антеннами</t>
  </si>
  <si>
    <t>Один ридер не знает, груз выходит или заходит. Нужны две антенны: первая увидела со склада — выход. Сервис рядом переводит EPC в код номенклатуры и шлёт API.</t>
  </si>
  <si>
    <t>Модуль на 4 антенны</t>
  </si>
  <si>
    <t>E710, 4/8/16 портов, RS232 и TCP/IP, в карточке до 20 м</t>
  </si>
  <si>
    <t>860–960 в модуле, рабочая полоса задаётся командой</t>
  </si>
  <si>
    <t>Альтернатива CF815</t>
  </si>
  <si>
    <t>Дешевле именем, больше возни с питанием и корпусом. Антенны в эту цену обычно не входят. Усиление антенны закладывать в расчёт 2 Вт.</t>
  </si>
  <si>
    <t>Похожие карточки, которые для Израиля не берём</t>
  </si>
  <si>
    <t>Они лежат в той же выдаче AliExpress и выглядят дешевле. Частота или назначение другие.</t>
  </si>
  <si>
    <t>Почему мимо</t>
  </si>
  <si>
    <t>Ссылка</t>
  </si>
  <si>
    <t>Support Android APP UHF writer KL9005HID, в заголовке 865–868 МГц</t>
  </si>
  <si>
    <t>Европейская полоса прямо в названии. В Израиле это не рабочая настройка UHF RFID.</t>
  </si>
  <si>
    <t>Открыть</t>
  </si>
  <si>
    <t>Антенна 433,92 МГц «для ворот и гаража»</t>
  </si>
  <si>
    <t>Пульт ворот, не бирка кабинета.</t>
  </si>
  <si>
    <t>Клонер 125 кГц и карты T5577</t>
  </si>
  <si>
    <t>Домофонные ключи. К учёту парка не относится.</t>
  </si>
  <si>
    <t>Мокрый инлей 9662 Higgs3, 100 шт</t>
  </si>
  <si>
    <t>На картоне живёт, на алюминиевом кабинете антенна садится и не читается.</t>
  </si>
  <si>
    <t>Отдельно: любой считыватель с гордой строкой «FCC 902–928, 4 Вт» или «EU 865–868» без пункта «custom frequency 915–917, 2 W EIRP» в эту таблицу не добавлялся как покупка. Полный американский хоп задевает частоты ниже 915 и выше 917 МГц.</t>
  </si>
  <si>
    <t>Как железо попадает в учёт, который уже написан</t>
  </si>
  <si>
    <t>Сайт GitHub Pages скан рамки не запишет: там нет сервера. Пишет компьютер склада: docker compose up или npm run dev, файл data/warehouse.sqlite. Адрес со слэшем в конце, потому что так собран сервер.</t>
  </si>
  <si>
    <t>Место</t>
  </si>
  <si>
    <t>Как устроено</t>
  </si>
  <si>
    <t>Куда слать</t>
  </si>
  <si>
    <t>POST http://&lt;сервер-склада&gt;:3000/api/v1/integrations/scan/events/</t>
  </si>
  <si>
    <t>Заголовок</t>
  </si>
  <si>
    <t>Если задан SCAN_WEBHOOK_SECRET, нужен X-Signature: sha256=&lt;hmac тела запроса&gt;. Без секрета сервер принимает запрос как есть, так что секрет включаем до того, как рамка смотрит в сеть.</t>
  </si>
  <si>
    <t>Одно событие</t>
  </si>
  <si>
    <t>{ "eventId": "gate-кабинет-время", "source": "gate", "code": "CAB-P39", "direction": "out", "qty": 1, "deviceId": "door-1", "meta": { "externalId": "mapper-42", "epc": "EPC бирки" } }</t>
  </si>
  <si>
    <t>Пачка</t>
  </si>
  <si>
    <t>Тело { "events": [ ... ] }. Сервер проводит события по очереди.</t>
  </si>
  <si>
    <t>Повтор</t>
  </si>
  <si>
    <t>Тот же eventId второй раз остаток не удваивает. Для рамки eventId делать из EPC, направления и минуты, иначе одна тележка у двери превратится в десять расходов.</t>
  </si>
  <si>
    <t>Код</t>
  </si>
  <si>
    <t>Поле code — это код номенклатуры склада, CAB-P39, CBL-SIG, CTL-NOVA. В бирку можно записать тот же текст. Если в бирке только заводской EPC, у двери нужна таблица EPC → код. Неизвестный код сервер отклоняет.</t>
  </si>
  <si>
    <t>Выход заказа</t>
  </si>
  <si>
    <t>direction out уменьшает остаток. Если в meta есть externalId заказа mapper, строка этого заказа отмечается как вышедшая со склада.</t>
  </si>
  <si>
    <t>Направление</t>
  </si>
  <si>
    <t>in — приход, out — расход, move — перенос, для него нужны locationId и fromLocationId.</t>
  </si>
  <si>
    <t>Кто шлёт</t>
  </si>
  <si>
    <t>Bluetooth-сканер сам HTTP не умеет: он печатает код в открытое поле. Рамка и UHF-пистолет шлют через маленькую программу на компьютере у двери или через Android-приложение терминала.</t>
  </si>
  <si>
    <t>Заказ из mapper</t>
  </si>
  <si>
    <t>Это другой адрес: POST /api/v1/integrations/mapper/orders/ с externalId и строками code+qty. Рамка этот заказ не создаёт, она только списывает уже забронированное.</t>
  </si>
  <si>
    <t>То, чего в запросе «рамка, бирка, сканер» ещё нет</t>
  </si>
  <si>
    <t>Что сделать</t>
  </si>
  <si>
    <t>Кейс и кабинет</t>
  </si>
  <si>
    <t>Кейс на 8 кабинетов и сам кабинет — разные бирки. Иначе рамка спишет кейс и ещё раз восьми штук, или спишет кейс вместо кабинетов. В номенклатуре это CASE-FC и CAB-P39.</t>
  </si>
  <si>
    <t>Длина кабеля</t>
  </si>
  <si>
    <t>Магистраль 50 м и перемычка 0,5 м сейчас могут попасть в один код. Для честного расхода нужны разные коды, иначе заказ из mapper сольёт их в одну кучу.</t>
  </si>
  <si>
    <t>Две антенны</t>
  </si>
  <si>
    <t>Одна антенна не отличает вход от выхода. Ставим две по ходу движения и режем чтение стеллажа экраном или снижением мощности.</t>
  </si>
  <si>
    <t>Люди в проёме</t>
  </si>
  <si>
    <t>Бирка в кармане и бирка на тележке за дверью тоже читаются. Программа выпускает только то, что есть в открытом заказе, и не чаще одного раза на EPC за проход.</t>
  </si>
  <si>
    <t>Кодировка бирок</t>
  </si>
  <si>
    <t>Нужен один вечер у стола: принтер печатает этикетку, считыватель пишет в EPC тот же код. Без этого рамка видит номер чипа, а склад ждёт CAB-P39.</t>
  </si>
  <si>
    <t>Солнце и мойка</t>
  </si>
  <si>
    <t>Прямая термобумага в кузове за лето умирает. На кабинеты — полиэстер и лента. На улицу — ABS или PCB, не бумага.</t>
  </si>
  <si>
    <t>Запас</t>
  </si>
  <si>
    <t>Второй сканер, запас ленты, 10% бирок сверх парка. Одна сломанная голова сканера в день выезда останавливает отгрузку.</t>
  </si>
  <si>
    <t>Сеть у двери</t>
  </si>
  <si>
    <t>Ридер по Ethernet в ту же сеть, что сервер склада. Wi-Fi на металлическом складе у ворот часто пропадает. Секрет подписи не класть в сайт GitHub Pages.</t>
  </si>
  <si>
    <t>Офлайн</t>
  </si>
  <si>
    <t>Если сервер на минуту недоступен, программа у двери копит события и досылает с теми же eventId. Иначе тележка уедет, а остаток останется.</t>
  </si>
  <si>
    <t>Питание рамки</t>
  </si>
  <si>
    <t>Блок 12 В, бесперебойник хотя бы на ридер, чтобы отключение света не выглядело как «ничего не вышло».</t>
  </si>
  <si>
    <t>Проба до ящика</t>
  </si>
  <si>
    <t>20 бирок, 5 кабинетов, 5 кабелей, один кейс, чтение у реальной двери с машиной. Дальность с картинки AliExpress к этому складу отношения не имеет.</t>
  </si>
  <si>
    <t>Кто отвечает за частоту</t>
  </si>
  <si>
    <t>Пароль от настройки ридера не у всех. Случайное возвращение на американский хоп снова включает запрещённые частоты.</t>
  </si>
  <si>
    <t>Язык на бирке</t>
  </si>
  <si>
    <t>На наклейке код латиницей крупно, рядом коротко русское или ивритское имя. Сканер читает код, человек читает имя.</t>
  </si>
  <si>
    <t>Возврат</t>
  </si>
  <si>
    <t>Отдельное направление in на ту же бирку. Иначе возврат с площадки придётся вбивать руками и остаток разъедется.</t>
  </si>
  <si>
    <t>Две сметы. Вторая не заказывается, пока не пройдена первая.</t>
  </si>
  <si>
    <t>Позиция</t>
  </si>
  <si>
    <t>Цена USD</t>
  </si>
  <si>
    <t>Штук</t>
  </si>
  <si>
    <t>Сумма USD</t>
  </si>
  <si>
    <t>Комментарий</t>
  </si>
  <si>
    <t>NETUM L8BLPro</t>
  </si>
  <si>
    <t>Дверь и запас</t>
  </si>
  <si>
    <t>Niimbot M2</t>
  </si>
  <si>
    <t>Лента и ролики в карточке отдельно, заложите ещё около 30 USD</t>
  </si>
  <si>
    <t>Флажки на кабель</t>
  </si>
  <si>
    <t>Тикшорет и питание</t>
  </si>
  <si>
    <t>Переходник вилки на тип H</t>
  </si>
  <si>
    <t>Местный магазин, не AliExpress. Оценка.</t>
  </si>
  <si>
    <t>Вторая очередь, после пробы и ответа по частоте</t>
  </si>
  <si>
    <t>Проба ABS anti-metal, 20 шт</t>
  </si>
  <si>
    <t>Проба PCB anti-metal, 20 шт</t>
  </si>
  <si>
    <t>Android UHF PDA, если продавец зафиксирует 915–917</t>
  </si>
  <si>
    <t>CHAFON CF815 либо модуль E710, один из двух</t>
  </si>
  <si>
    <t>Две антенны и кабели, оценка, в цену ридера обычно не входят</t>
  </si>
  <si>
    <t>Вторая очередь, если брать и PDA, и ридер</t>
  </si>
  <si>
    <t>НДС, пошлина и доставка сверху. Коммерческий ввоз считается отдельно от личного порога 75 USD. Chainway C72 за 818 USD и пистолет за 669 USD в смету не ставил: это замена PDA, а не добавка к ней.</t>
  </si>
  <si>
    <t>Откуда взяты правила и цены</t>
  </si>
  <si>
    <t>Источник</t>
  </si>
  <si>
    <t>Зачем он в этом файле</t>
  </si>
  <si>
    <t>GS1, UHF allocations for RFID</t>
  </si>
  <si>
    <t>https://www.gs1.org/docs/epc/uhf_regulations.pdf — Израиль: 915–917 МГц, 2 Вт EIRP, регламент 27.08.2012, пределы вне полосы.</t>
  </si>
  <si>
    <t>ITU-R SM.2255 (2012)</t>
  </si>
  <si>
    <t>https://www.itu.int/dms_pub/itu-r/opb/rep/r-rep-sm.2255-2012-pdf-e.pdf — более узкая запись 915–916,8 МГц. Поэтому перед закупкой нужен актуальный ответ министерства, а не только сводка.</t>
  </si>
  <si>
    <t>ICL Global, 02.06.2026</t>
  </si>
  <si>
    <t>https://www.iclglobal.com/news_update/vat-exemption-threshold-for-personal-imports-to-israel-updated/ — личный порог снова 75 USD, НДС на посылки между 75 и 130 USD.</t>
  </si>
  <si>
    <t>משרד הכלכלה, יבוא מכשיר קשר</t>
  </si>
  <si>
    <t>https://apps.economy.gov.il/Apps/PersonalImport/Product/Index/221 — личный ввоз радио, до 5 штук, условия «не для оказания услуг».</t>
  </si>
  <si>
    <t>משרד התקשורת</t>
  </si>
  <si>
    <t>requests@moc.gov.il, 03-5198282. Типовое одобрение и вопрос, можно ли включить конкретную модель на 915–917 МГц.</t>
  </si>
  <si>
    <t>AliExpress, выдача 8 октября 2026</t>
  </si>
  <si>
    <t>Цены и фото карточек из поиска в этот день. Карточка, остаток и доставка меняются.</t>
  </si>
  <si>
    <t>Код склада</t>
  </si>
  <si>
    <t>POST /api/v1/integrations/scan/events/ и POST /api/v1/integrations/mapper/orders/ уже есть в этом репозитории.</t>
  </si>
  <si>
    <t>Файл помогает выбрать комплект и не включить чужую частоту. Он не заменяет таможенного брокера и не является разрешением Министерства связи на передачу.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</si>
</sst>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1C1915"/>
      <sz val="16"/>
      <name val="Calibri"/>
    </font>
    <font>
      <color rgb="FF3F3A34"/>
      <sz val="11"/>
      <name val="Calibri"/>
    </font>
    <font>
      <b/>
      <color rgb="FFFFFFFF"/>
      <sz val="11"/>
      <name val="Calibri"/>
    </font>
    <font>
      <sz val="11"/>
      <name val="Calibri"/>
    </font>
    <font>
      <b/>
      <sz val="11"/>
      <name val="Calibri"/>
    </font>
    <font>
      <u/>
      <color rgb="FF1D4E89"/>
      <sz val="11"/>
      <name val="Calibri"/>
    </font>
    <font>
      <b/>
      <name val="Calibri"/>
    </font>
    <font>
      <b/>
      <sz val="1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C1915"/>
      </patternFill>
    </fill>
    <fill>
      <patternFill patternType="solid">
        <fgColor rgb="FFE5F2EA"/>
      </patternFill>
    </fill>
    <fill>
      <patternFill patternType="solid">
        <fgColor rgb="FFFFF6E4"/>
      </patternFill>
    </fill>
    <fill>
      <patternFill patternType="solid">
        <fgColor rgb="FFF8E4E4"/>
      </patternFill>
    </fill>
    <fill>
      <patternFill patternType="solid">
        <fgColor rgb="FFF6F1E8"/>
      </patternFill>
    </fill>
    <fill>
      <patternFill patternType="solid">
        <fgColor rgb="FFFFF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5" fillId="0" borderId="0" xfId="0" applyFont="1"/>
    <xf numFmtId="0" fontId="4" fillId="0" borderId="0" xfId="0" applyFont="1"/>
    <xf numFmtId="9" fontId="4" fillId="0" borderId="0" xfId="0" applyNumberFormat="1" applyFont="1"/>
    <xf numFmtId="4" fontId="4" fillId="0" borderId="0" xfId="0" applyNumberFormat="1" applyFont="1"/>
    <xf numFmtId="0" fontId="5" fillId="4" borderId="0" xfId="0" applyFont="1" applyFill="1"/>
    <xf numFmtId="4" fontId="4" fillId="4" borderId="0" xfId="0" applyNumberFormat="1" applyFont="1" applyFill="1"/>
    <xf numFmtId="0" fontId="5" fillId="6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164" fontId="4" fillId="3" borderId="0" xfId="0" applyNumberFormat="1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4" fillId="5" borderId="0" xfId="0" applyNumberFormat="1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164" fontId="4" fillId="0" borderId="0" xfId="0" applyNumberFormat="1" applyFont="1"/>
    <xf numFmtId="0" fontId="0" fillId="3" borderId="0" xfId="0" applyFill="1"/>
    <xf numFmtId="0" fontId="7" fillId="3" borderId="0" xfId="0" applyFont="1" applyFill="1"/>
    <xf numFmtId="164" fontId="4" fillId="3" borderId="0" xfId="0" applyNumberFormat="1" applyFont="1" applyFill="1"/>
    <xf numFmtId="0" fontId="8" fillId="0" borderId="0" xfId="0" applyFont="1"/>
    <xf numFmtId="0" fontId="0" fillId="4" borderId="0" xfId="0" applyFill="1"/>
    <xf numFmtId="0" fontId="7" fillId="4" borderId="0" xfId="0" applyFont="1" applyFill="1"/>
    <xf numFmtId="164" fontId="4" fillId="4" borderId="0" xfId="0" applyNumberFormat="1" applyFont="1" applyFill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4</xdr:row>
      <xdr:rowOff>93600</xdr:rowOff>
    </xdr:from>
    <xdr:ext cx="914400" cy="914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93600</xdr:rowOff>
    </xdr:from>
    <xdr:ext cx="914400" cy="914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6</xdr:row>
      <xdr:rowOff>93600</xdr:rowOff>
    </xdr:from>
    <xdr:ext cx="914400" cy="914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7</xdr:row>
      <xdr:rowOff>93600</xdr:rowOff>
    </xdr:from>
    <xdr:ext cx="914400" cy="914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8</xdr:row>
      <xdr:rowOff>93599</xdr:rowOff>
    </xdr:from>
    <xdr:ext cx="914400" cy="914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9</xdr:row>
      <xdr:rowOff>93599</xdr:rowOff>
    </xdr:from>
    <xdr:ext cx="914400" cy="914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10</xdr:row>
      <xdr:rowOff>93599</xdr:rowOff>
    </xdr:from>
    <xdr:ext cx="914400" cy="914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11</xdr:row>
      <xdr:rowOff>93599</xdr:rowOff>
    </xdr:from>
    <xdr:ext cx="914400" cy="914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12</xdr:row>
      <xdr:rowOff>93599</xdr:rowOff>
    </xdr:from>
    <xdr:ext cx="914400" cy="914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13</xdr:row>
      <xdr:rowOff>93599</xdr:rowOff>
    </xdr:from>
    <xdr:ext cx="914400" cy="914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14</xdr:row>
      <xdr:rowOff>93599</xdr:rowOff>
    </xdr:from>
    <xdr:ext cx="914400" cy="914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15</xdr:row>
      <xdr:rowOff>93599</xdr:rowOff>
    </xdr:from>
    <xdr:ext cx="914400" cy="914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iexpress.com/item/3256807158575890.html" TargetMode="External"/><Relationship Id="rId2" Type="http://schemas.openxmlformats.org/officeDocument/2006/relationships/hyperlink" Target="https://www.aliexpress.com/item/3256807174481455.html" TargetMode="External"/><Relationship Id="rId3" Type="http://schemas.openxmlformats.org/officeDocument/2006/relationships/hyperlink" Target="https://www.aliexpress.com/item/3256812153312228.html" TargetMode="External"/><Relationship Id="rId4" Type="http://schemas.openxmlformats.org/officeDocument/2006/relationships/hyperlink" Target="https://www.aliexpress.com/item/3256812541944074.html" TargetMode="External"/><Relationship Id="rId5" Type="http://schemas.openxmlformats.org/officeDocument/2006/relationships/hyperlink" Target="https://www.aliexpress.com/item/3256812542748102.html" TargetMode="External"/><Relationship Id="rId6" Type="http://schemas.openxmlformats.org/officeDocument/2006/relationships/hyperlink" Target="https://www.aliexpress.com/item/3256809928444565.html" TargetMode="External"/><Relationship Id="rId7" Type="http://schemas.openxmlformats.org/officeDocument/2006/relationships/hyperlink" Target="https://www.aliexpress.com/item/3256806013345138.html" TargetMode="External"/><Relationship Id="rId8" Type="http://schemas.openxmlformats.org/officeDocument/2006/relationships/hyperlink" Target="https://www.aliexpress.com/item/3256812403093676.html" TargetMode="External"/><Relationship Id="rId9" Type="http://schemas.openxmlformats.org/officeDocument/2006/relationships/hyperlink" Target="https://www.aliexpress.com/item/3256812528914328.html" TargetMode="External"/><Relationship Id="rId10" Type="http://schemas.openxmlformats.org/officeDocument/2006/relationships/hyperlink" Target="https://www.aliexpress.com/item/3256811537361703.html" TargetMode="External"/><Relationship Id="rId11" Type="http://schemas.openxmlformats.org/officeDocument/2006/relationships/hyperlink" Target="https://www.aliexpress.com/item/2255800904982823.html" TargetMode="External"/><Relationship Id="rId12" Type="http://schemas.openxmlformats.org/officeDocument/2006/relationships/hyperlink" Target="https://www.aliexpress.com/item/3256812395316151.html" TargetMode="External"/><Relationship Id="rId13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liexpress.com/item/3256808492231150.html" TargetMode="External"/><Relationship Id="rId2" Type="http://schemas.openxmlformats.org/officeDocument/2006/relationships/hyperlink" Target="https://www.aliexpress.com/item/3256806984597837.html" TargetMode="External"/><Relationship Id="rId3" Type="http://schemas.openxmlformats.org/officeDocument/2006/relationships/hyperlink" Target="https://www.aliexpress.com/item/3256811990656145.html" TargetMode="External"/><Relationship Id="rId4" Type="http://schemas.openxmlformats.org/officeDocument/2006/relationships/hyperlink" Target="https://www.aliexpress.com/item/22518326326247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A4D"/>
    <pageSetUpPr fitToPage="1"/>
  </sheetPr>
  <dimension ref="A1:B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88" customWidth="1"/>
  </cols>
  <sheetData>
    <row r="1" ht="26" customHeight="1" spans="1:2" x14ac:dyDescent="0.25">
      <c r="A1" s="1" t="s">
        <v>0</v>
      </c>
      <c r="B1" s="1"/>
    </row>
    <row r="2" ht="62" customHeight="1" spans="1:2" x14ac:dyDescent="0.25">
      <c r="A2" s="2" t="s">
        <v>1</v>
      </c>
      <c r="B2" s="2"/>
    </row>
    <row r="4" ht="28" customHeight="1" spans="1:2" s="3" customFormat="1" x14ac:dyDescent="0.25">
      <c r="A4" s="3" t="s">
        <v>2</v>
      </c>
      <c r="B4" s="3" t="s">
        <v>3</v>
      </c>
    </row>
    <row r="5" ht="48" customHeight="1" spans="1:2" x14ac:dyDescent="0.25">
      <c r="A5" s="4" t="s">
        <v>4</v>
      </c>
      <c r="B5" s="4" t="s">
        <v>5</v>
      </c>
    </row>
    <row r="6" ht="48" customHeight="1" spans="1:2" x14ac:dyDescent="0.25">
      <c r="A6" s="5" t="s">
        <v>6</v>
      </c>
      <c r="B6" s="5" t="s">
        <v>7</v>
      </c>
    </row>
    <row r="7" ht="48" customHeight="1" spans="1:2" x14ac:dyDescent="0.25">
      <c r="A7" s="5" t="s">
        <v>8</v>
      </c>
      <c r="B7" s="5" t="s">
        <v>9</v>
      </c>
    </row>
    <row r="8" ht="48" customHeight="1" spans="1:2" x14ac:dyDescent="0.25">
      <c r="A8" s="6" t="s">
        <v>10</v>
      </c>
      <c r="B8" s="6" t="s">
        <v>11</v>
      </c>
    </row>
    <row r="10" ht="48" customHeight="1" spans="1:2" x14ac:dyDescent="0.25">
      <c r="A10" s="2" t="s">
        <v>12</v>
      </c>
      <c r="B10" s="2"/>
    </row>
  </sheetData>
  <mergeCells count="3">
    <mergeCell ref="A1:B1"/>
    <mergeCell ref="A2:B2"/>
    <mergeCell ref="A10:B10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7A6"/>
    <pageSetUpPr fitToPage="1"/>
  </sheetPr>
  <dimension ref="A1:C1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4" customWidth="1"/>
    <col min="2" max="2" width="28" customWidth="1"/>
    <col min="3" max="3" width="62" customWidth="1"/>
  </cols>
  <sheetData>
    <row r="1" ht="26" customHeight="1" spans="1:3" x14ac:dyDescent="0.25">
      <c r="A1" s="1" t="s">
        <v>13</v>
      </c>
      <c r="B1" s="1"/>
      <c r="C1" s="1"/>
    </row>
    <row r="2" ht="58" customHeight="1" spans="1:3" x14ac:dyDescent="0.25">
      <c r="A2" s="2" t="s">
        <v>14</v>
      </c>
      <c r="B2" s="2"/>
      <c r="C2" s="2"/>
    </row>
    <row r="4" ht="28" customHeight="1" spans="1:3" s="3" customFormat="1" x14ac:dyDescent="0.25">
      <c r="A4" s="3" t="s">
        <v>15</v>
      </c>
      <c r="B4" s="3" t="s">
        <v>16</v>
      </c>
      <c r="C4" s="3" t="s">
        <v>17</v>
      </c>
    </row>
    <row r="5" ht="42" customHeight="1" spans="1:3" x14ac:dyDescent="0.25">
      <c r="A5" s="4" t="s">
        <v>18</v>
      </c>
      <c r="B5" s="4" t="s">
        <v>19</v>
      </c>
      <c r="C5" s="4" t="s">
        <v>20</v>
      </c>
    </row>
    <row r="6" ht="42" customHeight="1" spans="1:3" x14ac:dyDescent="0.25">
      <c r="A6" s="6" t="s">
        <v>21</v>
      </c>
      <c r="B6" s="6" t="s">
        <v>22</v>
      </c>
      <c r="C6" s="6" t="s">
        <v>23</v>
      </c>
    </row>
    <row r="7" ht="42" customHeight="1" spans="1:3" x14ac:dyDescent="0.25">
      <c r="A7" s="6" t="s">
        <v>24</v>
      </c>
      <c r="B7" s="6" t="s">
        <v>25</v>
      </c>
      <c r="C7" s="6" t="s">
        <v>26</v>
      </c>
    </row>
    <row r="8" ht="42" customHeight="1" spans="1:3" x14ac:dyDescent="0.25">
      <c r="A8" s="6" t="s">
        <v>27</v>
      </c>
      <c r="B8" s="6" t="s">
        <v>25</v>
      </c>
      <c r="C8" s="6" t="s">
        <v>28</v>
      </c>
    </row>
    <row r="9" ht="42" customHeight="1" spans="1:3" x14ac:dyDescent="0.25">
      <c r="A9" s="4" t="s">
        <v>29</v>
      </c>
      <c r="B9" s="4" t="s">
        <v>30</v>
      </c>
      <c r="C9" s="4" t="s">
        <v>31</v>
      </c>
    </row>
    <row r="10" ht="42" customHeight="1" spans="1:3" x14ac:dyDescent="0.25">
      <c r="A10" s="5" t="s">
        <v>32</v>
      </c>
      <c r="B10" s="5" t="s">
        <v>33</v>
      </c>
      <c r="C10" s="5" t="s">
        <v>34</v>
      </c>
    </row>
    <row r="11" ht="42" customHeight="1" spans="1:3" x14ac:dyDescent="0.25">
      <c r="A11" s="6" t="s">
        <v>35</v>
      </c>
      <c r="B11" s="6" t="s">
        <v>36</v>
      </c>
      <c r="C11" s="6" t="s">
        <v>37</v>
      </c>
    </row>
    <row r="12" ht="42" customHeight="1" spans="1:3" x14ac:dyDescent="0.25">
      <c r="A12" s="6" t="s">
        <v>38</v>
      </c>
      <c r="B12" s="6" t="s">
        <v>10</v>
      </c>
      <c r="C12" s="6" t="s">
        <v>39</v>
      </c>
    </row>
    <row r="14" ht="48" customHeight="1" spans="1:3" x14ac:dyDescent="0.25">
      <c r="A14" s="2" t="s">
        <v>40</v>
      </c>
      <c r="B14" s="2"/>
      <c r="C14" s="2"/>
    </row>
  </sheetData>
  <mergeCells count="3">
    <mergeCell ref="A1:C1"/>
    <mergeCell ref="A2:C2"/>
    <mergeCell ref="A14:C14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A00"/>
    <pageSetUpPr fitToPage="1"/>
  </sheetPr>
  <dimension ref="A1:B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2" customWidth="1"/>
    <col min="2" max="2" width="78" customWidth="1"/>
  </cols>
  <sheetData>
    <row r="1" ht="26" customHeight="1" spans="1:2" x14ac:dyDescent="0.25">
      <c r="A1" s="1" t="s">
        <v>41</v>
      </c>
      <c r="B1" s="1"/>
    </row>
    <row r="2" ht="58" customHeight="1" spans="1:2" x14ac:dyDescent="0.25">
      <c r="A2" s="2" t="s">
        <v>42</v>
      </c>
      <c r="B2" s="2"/>
    </row>
    <row r="4" ht="28" customHeight="1" spans="1:2" s="3" customFormat="1" x14ac:dyDescent="0.25">
      <c r="A4" s="3" t="s">
        <v>43</v>
      </c>
      <c r="B4" s="3" t="s">
        <v>44</v>
      </c>
    </row>
    <row r="5" ht="40" customHeight="1" spans="1:2" x14ac:dyDescent="0.25">
      <c r="A5" s="7" t="s">
        <v>45</v>
      </c>
      <c r="B5" s="7" t="s">
        <v>46</v>
      </c>
    </row>
    <row r="6" ht="40" customHeight="1" spans="1:2" x14ac:dyDescent="0.25">
      <c r="A6" s="8" t="s">
        <v>47</v>
      </c>
      <c r="B6" s="8" t="s">
        <v>48</v>
      </c>
    </row>
    <row r="7" ht="40" customHeight="1" spans="1:2" x14ac:dyDescent="0.25">
      <c r="A7" s="7" t="s">
        <v>49</v>
      </c>
      <c r="B7" s="7" t="s">
        <v>50</v>
      </c>
    </row>
    <row r="8" ht="40" customHeight="1" spans="1:2" x14ac:dyDescent="0.25">
      <c r="A8" s="8" t="s">
        <v>51</v>
      </c>
      <c r="B8" s="8" t="s">
        <v>52</v>
      </c>
    </row>
    <row r="9" ht="40" customHeight="1" spans="1:2" x14ac:dyDescent="0.25">
      <c r="A9" s="7" t="s">
        <v>53</v>
      </c>
      <c r="B9" s="7" t="s">
        <v>54</v>
      </c>
    </row>
    <row r="11" ht="36" customHeight="1" spans="1:2" x14ac:dyDescent="0.25">
      <c r="A11" s="2" t="s">
        <v>55</v>
      </c>
      <c r="B11" s="2"/>
    </row>
    <row r="13" spans="1:2" x14ac:dyDescent="0.25">
      <c r="A13" s="9" t="s">
        <v>56</v>
      </c>
      <c r="B13" s="10">
        <v>352</v>
      </c>
    </row>
    <row r="14" spans="1:2" x14ac:dyDescent="0.25">
      <c r="A14" s="9" t="s">
        <v>57</v>
      </c>
      <c r="B14" s="10">
        <v>40</v>
      </c>
    </row>
    <row r="15" spans="1:2" x14ac:dyDescent="0.25">
      <c r="A15" s="9" t="s">
        <v>58</v>
      </c>
      <c r="B15" s="11">
        <v>0.12</v>
      </c>
    </row>
    <row r="16" spans="1:2" x14ac:dyDescent="0.25">
      <c r="A16" s="9" t="s">
        <v>59</v>
      </c>
      <c r="B16" s="12">
        <f>IF(B13&gt;500,B13*B15,0)</f>
      </c>
    </row>
    <row r="17" spans="1:2" x14ac:dyDescent="0.25">
      <c r="A17" s="9" t="s">
        <v>60</v>
      </c>
      <c r="B17" s="12">
        <f>IF(B13&gt;75,(B13+B14+B16)*0.18,0)</f>
      </c>
    </row>
    <row r="18" spans="1:2" x14ac:dyDescent="0.25">
      <c r="A18" s="13" t="s">
        <v>61</v>
      </c>
      <c r="B18" s="14">
        <f>B13+B14+B16+B17</f>
      </c>
    </row>
  </sheetData>
  <mergeCells count="3">
    <mergeCell ref="A1:B1"/>
    <mergeCell ref="A2:B2"/>
    <mergeCell ref="A11:B11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622D"/>
    <pageSetUpPr fitToPage="1"/>
  </sheetPr>
  <dimension ref="A1:E1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38" customWidth="1"/>
    <col min="3" max="4" width="40" customWidth="1"/>
    <col min="5" max="5" width="34" customWidth="1"/>
  </cols>
  <sheetData>
    <row r="1" ht="26" customHeight="1" spans="1:5" x14ac:dyDescent="0.25">
      <c r="A1" s="1" t="s">
        <v>62</v>
      </c>
      <c r="B1" s="1"/>
      <c r="C1" s="1"/>
      <c r="D1" s="1"/>
      <c r="E1" s="1"/>
    </row>
    <row r="2" ht="36" customHeight="1" spans="1:5" x14ac:dyDescent="0.25">
      <c r="A2" s="2" t="s">
        <v>63</v>
      </c>
      <c r="B2" s="2"/>
      <c r="C2" s="2"/>
      <c r="D2" s="2"/>
      <c r="E2" s="2"/>
    </row>
    <row r="4" ht="28" customHeight="1" spans="1:5" s="3" customFormat="1" x14ac:dyDescent="0.25">
      <c r="A4" s="3" t="s">
        <v>64</v>
      </c>
      <c r="B4" s="3" t="s">
        <v>65</v>
      </c>
      <c r="C4" s="3" t="s">
        <v>66</v>
      </c>
      <c r="D4" s="3" t="s">
        <v>67</v>
      </c>
      <c r="E4" s="3" t="s">
        <v>68</v>
      </c>
    </row>
    <row r="5" ht="36" customHeight="1" spans="1:5" x14ac:dyDescent="0.25">
      <c r="A5" s="15" t="s">
        <v>69</v>
      </c>
      <c r="B5" s="4" t="s">
        <v>70</v>
      </c>
      <c r="C5" s="5" t="s">
        <v>71</v>
      </c>
      <c r="D5" s="5" t="s">
        <v>72</v>
      </c>
      <c r="E5" s="6" t="s">
        <v>73</v>
      </c>
    </row>
    <row r="6" ht="36" customHeight="1" spans="1:5" x14ac:dyDescent="0.25">
      <c r="A6" s="15" t="s">
        <v>74</v>
      </c>
      <c r="B6" s="4" t="s">
        <v>75</v>
      </c>
      <c r="C6" s="5" t="s">
        <v>76</v>
      </c>
      <c r="D6" s="5" t="s">
        <v>77</v>
      </c>
      <c r="E6" s="6" t="s">
        <v>78</v>
      </c>
    </row>
    <row r="7" ht="36" customHeight="1" spans="1:5" x14ac:dyDescent="0.25">
      <c r="A7" s="15" t="s">
        <v>79</v>
      </c>
      <c r="B7" s="4" t="s">
        <v>80</v>
      </c>
      <c r="C7" s="5" t="s">
        <v>81</v>
      </c>
      <c r="D7" s="5" t="s">
        <v>82</v>
      </c>
      <c r="E7" s="6" t="s">
        <v>83</v>
      </c>
    </row>
    <row r="8" ht="36" customHeight="1" spans="1:5" x14ac:dyDescent="0.25">
      <c r="A8" s="15" t="s">
        <v>84</v>
      </c>
      <c r="B8" s="4" t="s">
        <v>85</v>
      </c>
      <c r="C8" s="5" t="s">
        <v>86</v>
      </c>
      <c r="D8" s="5" t="s">
        <v>87</v>
      </c>
      <c r="E8" s="6" t="s">
        <v>88</v>
      </c>
    </row>
    <row r="9" ht="36" customHeight="1" spans="1:5" x14ac:dyDescent="0.25">
      <c r="A9" s="15" t="s">
        <v>89</v>
      </c>
      <c r="B9" s="4" t="s">
        <v>90</v>
      </c>
      <c r="C9" s="5" t="s">
        <v>91</v>
      </c>
      <c r="D9" s="5" t="s">
        <v>92</v>
      </c>
      <c r="E9" s="6" t="s">
        <v>93</v>
      </c>
    </row>
    <row r="10" ht="36" customHeight="1" spans="1:5" x14ac:dyDescent="0.25">
      <c r="A10" s="15" t="s">
        <v>94</v>
      </c>
      <c r="B10" s="4" t="s">
        <v>95</v>
      </c>
      <c r="C10" s="5" t="s">
        <v>96</v>
      </c>
      <c r="D10" s="5" t="s">
        <v>97</v>
      </c>
      <c r="E10" s="6" t="s">
        <v>98</v>
      </c>
    </row>
    <row r="11" ht="36" customHeight="1" spans="1:5" x14ac:dyDescent="0.25">
      <c r="A11" s="15" t="s">
        <v>99</v>
      </c>
      <c r="B11" s="4" t="s">
        <v>100</v>
      </c>
      <c r="C11" s="5" t="s">
        <v>101</v>
      </c>
      <c r="D11" s="5" t="s">
        <v>102</v>
      </c>
      <c r="E11" s="6" t="s">
        <v>103</v>
      </c>
    </row>
    <row r="12" ht="36" customHeight="1" spans="1:5" x14ac:dyDescent="0.25">
      <c r="A12" s="15" t="s">
        <v>104</v>
      </c>
      <c r="B12" s="4" t="s">
        <v>105</v>
      </c>
      <c r="C12" s="5" t="s">
        <v>106</v>
      </c>
      <c r="D12" s="5" t="s">
        <v>107</v>
      </c>
      <c r="E12" s="6" t="s">
        <v>108</v>
      </c>
    </row>
  </sheetData>
  <mergeCells count="2">
    <mergeCell ref="A1:E1"/>
    <mergeCell ref="A2:E2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A4D"/>
    <pageSetUpPr fitToPage="1"/>
  </sheetPr>
  <dimension ref="A1:I16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2" width="16" customWidth="1"/>
    <col min="3" max="3" width="28" customWidth="1"/>
    <col min="4" max="4" width="42" customWidth="1"/>
    <col min="5" max="5" width="14" customWidth="1"/>
    <col min="6" max="6" width="22" customWidth="1"/>
    <col min="7" max="7" width="36" customWidth="1"/>
    <col min="8" max="8" width="46" customWidth="1"/>
    <col min="9" max="9" width="18" customWidth="1"/>
  </cols>
  <sheetData>
    <row r="1" ht="26" customHeight="1" spans="1:9" x14ac:dyDescent="0.25">
      <c r="A1" s="1" t="s">
        <v>109</v>
      </c>
      <c r="B1" s="1"/>
      <c r="C1" s="1"/>
      <c r="D1" s="1"/>
      <c r="E1" s="1"/>
      <c r="F1" s="1"/>
      <c r="G1" s="1"/>
      <c r="H1" s="1"/>
      <c r="I1" s="1"/>
    </row>
    <row r="2" ht="36" customHeight="1" spans="1:9" x14ac:dyDescent="0.25">
      <c r="A2" s="2" t="s">
        <v>110</v>
      </c>
      <c r="B2" s="2"/>
      <c r="C2" s="2"/>
      <c r="D2" s="2"/>
      <c r="E2" s="2"/>
      <c r="F2" s="2"/>
      <c r="G2" s="2"/>
      <c r="H2" s="2"/>
      <c r="I2" s="2"/>
    </row>
    <row r="4" ht="28" customHeight="1" spans="1:9" s="3" customFormat="1" x14ac:dyDescent="0.25">
      <c r="A4" s="3" t="s">
        <v>111</v>
      </c>
      <c r="B4" s="3" t="s">
        <v>112</v>
      </c>
      <c r="C4" s="3" t="s">
        <v>113</v>
      </c>
      <c r="D4" s="3" t="s">
        <v>114</v>
      </c>
      <c r="E4" s="3" t="s">
        <v>115</v>
      </c>
      <c r="F4" s="3" t="s">
        <v>116</v>
      </c>
      <c r="G4" s="3" t="s">
        <v>117</v>
      </c>
      <c r="H4" s="3" t="s">
        <v>118</v>
      </c>
      <c r="I4" s="3" t="s">
        <v>119</v>
      </c>
    </row>
    <row r="5" ht="78" customHeight="1" spans="2:9" x14ac:dyDescent="0.25">
      <c r="B5" s="4" t="s">
        <v>4</v>
      </c>
      <c r="C5" s="4" t="s">
        <v>120</v>
      </c>
      <c r="D5" s="16" t="s">
        <v>121</v>
      </c>
      <c r="E5" s="17">
        <v>26.39</v>
      </c>
      <c r="F5" s="4" t="s">
        <v>122</v>
      </c>
      <c r="G5" s="4" t="s">
        <v>123</v>
      </c>
      <c r="H5" s="4" t="s">
        <v>124</v>
      </c>
      <c r="I5" s="4">
        <v>2</v>
      </c>
    </row>
    <row r="6" ht="78" customHeight="1" spans="2:9" x14ac:dyDescent="0.25">
      <c r="B6" s="4" t="s">
        <v>4</v>
      </c>
      <c r="C6" s="4" t="s">
        <v>125</v>
      </c>
      <c r="D6" s="16" t="s">
        <v>126</v>
      </c>
      <c r="E6" s="17">
        <v>108.18</v>
      </c>
      <c r="F6" s="4" t="s">
        <v>127</v>
      </c>
      <c r="G6" s="4" t="s">
        <v>123</v>
      </c>
      <c r="H6" s="4" t="s">
        <v>128</v>
      </c>
      <c r="I6" s="4">
        <v>1</v>
      </c>
    </row>
    <row r="7" ht="78" customHeight="1" spans="2:9" x14ac:dyDescent="0.25">
      <c r="B7" s="4" t="s">
        <v>4</v>
      </c>
      <c r="C7" s="4" t="s">
        <v>129</v>
      </c>
      <c r="D7" s="16" t="s">
        <v>130</v>
      </c>
      <c r="E7" s="17">
        <v>4.64</v>
      </c>
      <c r="F7" s="4" t="s">
        <v>127</v>
      </c>
      <c r="G7" s="4" t="s">
        <v>123</v>
      </c>
      <c r="H7" s="4" t="s">
        <v>131</v>
      </c>
      <c r="I7" s="4">
        <v>3</v>
      </c>
    </row>
    <row r="8" ht="78" customHeight="1" spans="2:9" x14ac:dyDescent="0.25">
      <c r="B8" s="4" t="s">
        <v>4</v>
      </c>
      <c r="C8" s="4" t="s">
        <v>132</v>
      </c>
      <c r="D8" s="16" t="s">
        <v>133</v>
      </c>
      <c r="E8" s="17">
        <v>169</v>
      </c>
      <c r="F8" s="4" t="s">
        <v>134</v>
      </c>
      <c r="G8" s="4" t="s">
        <v>135</v>
      </c>
      <c r="H8" s="4" t="s">
        <v>136</v>
      </c>
      <c r="I8" s="4">
        <v>1</v>
      </c>
    </row>
    <row r="9" ht="78" customHeight="1" spans="2:9" x14ac:dyDescent="0.25">
      <c r="B9" s="5" t="s">
        <v>137</v>
      </c>
      <c r="C9" s="5" t="s">
        <v>138</v>
      </c>
      <c r="D9" s="18" t="s">
        <v>139</v>
      </c>
      <c r="E9" s="19">
        <v>66.07</v>
      </c>
      <c r="F9" s="5" t="s">
        <v>127</v>
      </c>
      <c r="G9" s="5" t="s">
        <v>140</v>
      </c>
      <c r="H9" s="5" t="s">
        <v>141</v>
      </c>
      <c r="I9" s="5">
        <v>0</v>
      </c>
    </row>
    <row r="10" ht="78" customHeight="1" spans="2:9" x14ac:dyDescent="0.25">
      <c r="B10" s="5" t="s">
        <v>142</v>
      </c>
      <c r="C10" s="5" t="s">
        <v>143</v>
      </c>
      <c r="D10" s="18" t="s">
        <v>144</v>
      </c>
      <c r="E10" s="19">
        <v>16.81</v>
      </c>
      <c r="F10" s="5" t="s">
        <v>145</v>
      </c>
      <c r="G10" s="5" t="s">
        <v>146</v>
      </c>
      <c r="H10" s="5" t="s">
        <v>147</v>
      </c>
      <c r="I10" s="5">
        <v>1</v>
      </c>
    </row>
    <row r="11" ht="78" customHeight="1" spans="2:9" x14ac:dyDescent="0.25">
      <c r="B11" s="5" t="s">
        <v>142</v>
      </c>
      <c r="C11" s="5" t="s">
        <v>148</v>
      </c>
      <c r="D11" s="18" t="s">
        <v>149</v>
      </c>
      <c r="E11" s="19">
        <v>20.58</v>
      </c>
      <c r="F11" s="5" t="s">
        <v>150</v>
      </c>
      <c r="G11" s="5" t="s">
        <v>151</v>
      </c>
      <c r="H11" s="5" t="s">
        <v>152</v>
      </c>
      <c r="I11" s="5">
        <v>1</v>
      </c>
    </row>
    <row r="12" ht="78" customHeight="1" spans="2:9" x14ac:dyDescent="0.25">
      <c r="B12" s="5" t="s">
        <v>153</v>
      </c>
      <c r="C12" s="5" t="s">
        <v>154</v>
      </c>
      <c r="D12" s="18" t="s">
        <v>155</v>
      </c>
      <c r="E12" s="19">
        <v>299</v>
      </c>
      <c r="F12" s="5" t="s">
        <v>156</v>
      </c>
      <c r="G12" s="5" t="s">
        <v>157</v>
      </c>
      <c r="H12" s="5" t="s">
        <v>158</v>
      </c>
      <c r="I12" s="5">
        <v>1</v>
      </c>
    </row>
    <row r="13" ht="78" customHeight="1" spans="2:9" x14ac:dyDescent="0.25">
      <c r="B13" s="5" t="s">
        <v>153</v>
      </c>
      <c r="C13" s="5" t="s">
        <v>159</v>
      </c>
      <c r="D13" s="18" t="s">
        <v>160</v>
      </c>
      <c r="E13" s="19">
        <v>669.36</v>
      </c>
      <c r="F13" s="5" t="s">
        <v>161</v>
      </c>
      <c r="G13" s="5" t="s">
        <v>162</v>
      </c>
      <c r="H13" s="5" t="s">
        <v>163</v>
      </c>
      <c r="I13" s="5">
        <v>0</v>
      </c>
    </row>
    <row r="14" ht="78" customHeight="1" spans="2:9" x14ac:dyDescent="0.25">
      <c r="B14" s="5" t="s">
        <v>153</v>
      </c>
      <c r="C14" s="5" t="s">
        <v>164</v>
      </c>
      <c r="D14" s="18" t="s">
        <v>165</v>
      </c>
      <c r="E14" s="19">
        <v>818.34</v>
      </c>
      <c r="F14" s="5" t="s">
        <v>166</v>
      </c>
      <c r="G14" s="5" t="s">
        <v>167</v>
      </c>
      <c r="H14" s="5" t="s">
        <v>168</v>
      </c>
      <c r="I14" s="5">
        <v>0</v>
      </c>
    </row>
    <row r="15" ht="78" customHeight="1" spans="2:9" x14ac:dyDescent="0.25">
      <c r="B15" s="5" t="s">
        <v>169</v>
      </c>
      <c r="C15" s="5" t="s">
        <v>170</v>
      </c>
      <c r="D15" s="18" t="s">
        <v>171</v>
      </c>
      <c r="E15" s="19">
        <v>351.78</v>
      </c>
      <c r="F15" s="5" t="s">
        <v>172</v>
      </c>
      <c r="G15" s="5" t="s">
        <v>173</v>
      </c>
      <c r="H15" s="5" t="s">
        <v>174</v>
      </c>
      <c r="I15" s="5">
        <v>0</v>
      </c>
    </row>
    <row r="16" ht="78" customHeight="1" spans="2:9" x14ac:dyDescent="0.25">
      <c r="B16" s="5" t="s">
        <v>169</v>
      </c>
      <c r="C16" s="5" t="s">
        <v>175</v>
      </c>
      <c r="D16" s="18" t="s">
        <v>176</v>
      </c>
      <c r="E16" s="19">
        <v>290.89</v>
      </c>
      <c r="F16" s="5" t="s">
        <v>177</v>
      </c>
      <c r="G16" s="5" t="s">
        <v>178</v>
      </c>
      <c r="H16" s="5" t="s">
        <v>179</v>
      </c>
      <c r="I16" s="5">
        <v>0</v>
      </c>
    </row>
  </sheetData>
  <autoFilter ref="A4:I16"/>
  <mergeCells count="2">
    <mergeCell ref="A1:I1"/>
    <mergeCell ref="A2:I2"/>
  </mergeCells>
  <hyperlinks>
    <hyperlink ref="D5" r:id="rId1"/>
    <hyperlink ref="D6" r:id="rId2"/>
    <hyperlink ref="D7" r:id="rId3"/>
    <hyperlink ref="D8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</hyperlink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B2C2C"/>
    <pageSetUpPr fitToPage="1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6" customWidth="1"/>
    <col min="2" max="2" width="18" customWidth="1"/>
    <col min="3" max="3" width="62" customWidth="1"/>
    <col min="4" max="4" width="55" customWidth="1"/>
  </cols>
  <sheetData>
    <row r="1" ht="26" customHeight="1" spans="1:4" x14ac:dyDescent="0.25">
      <c r="A1" s="1" t="s">
        <v>180</v>
      </c>
      <c r="B1" s="1"/>
      <c r="C1" s="1"/>
      <c r="D1" s="1"/>
    </row>
    <row r="2" spans="1:4" x14ac:dyDescent="0.25">
      <c r="A2" s="2" t="s">
        <v>181</v>
      </c>
      <c r="B2" s="2"/>
      <c r="C2" s="2"/>
      <c r="D2" s="2"/>
    </row>
    <row r="4" ht="28" customHeight="1" spans="1:4" s="3" customFormat="1" x14ac:dyDescent="0.25">
      <c r="A4" s="3" t="s">
        <v>114</v>
      </c>
      <c r="B4" s="3" t="s">
        <v>115</v>
      </c>
      <c r="C4" s="3" t="s">
        <v>182</v>
      </c>
      <c r="D4" s="3" t="s">
        <v>183</v>
      </c>
    </row>
    <row r="5" ht="36" customHeight="1" spans="1:4" x14ac:dyDescent="0.25">
      <c r="A5" s="6" t="s">
        <v>184</v>
      </c>
      <c r="B5" s="20">
        <v>49</v>
      </c>
      <c r="C5" s="6" t="s">
        <v>185</v>
      </c>
      <c r="D5" s="21" t="s">
        <v>186</v>
      </c>
    </row>
    <row r="6" ht="36" customHeight="1" spans="1:4" x14ac:dyDescent="0.25">
      <c r="A6" s="6" t="s">
        <v>187</v>
      </c>
      <c r="B6" s="20">
        <v>6.33</v>
      </c>
      <c r="C6" s="6" t="s">
        <v>188</v>
      </c>
      <c r="D6" s="21" t="s">
        <v>186</v>
      </c>
    </row>
    <row r="7" ht="36" customHeight="1" spans="1:4" x14ac:dyDescent="0.25">
      <c r="A7" s="6" t="s">
        <v>189</v>
      </c>
      <c r="B7" s="20">
        <v>8.56</v>
      </c>
      <c r="C7" s="6" t="s">
        <v>190</v>
      </c>
      <c r="D7" s="21" t="s">
        <v>186</v>
      </c>
    </row>
    <row r="8" ht="36" customHeight="1" spans="1:4" x14ac:dyDescent="0.25">
      <c r="A8" s="6" t="s">
        <v>191</v>
      </c>
      <c r="B8" s="20">
        <v>15.5</v>
      </c>
      <c r="C8" s="6" t="s">
        <v>192</v>
      </c>
      <c r="D8" s="21" t="s">
        <v>186</v>
      </c>
    </row>
    <row r="10" ht="36" customHeight="1" spans="1:4" x14ac:dyDescent="0.25">
      <c r="A10" s="2" t="s">
        <v>193</v>
      </c>
      <c r="B10" s="2"/>
      <c r="C10" s="2"/>
      <c r="D10" s="2"/>
    </row>
  </sheetData>
  <mergeCells count="3">
    <mergeCell ref="A1:D1"/>
    <mergeCell ref="A2:D2"/>
    <mergeCell ref="A10:D10"/>
  </mergeCells>
  <hyperlinks>
    <hyperlink ref="D5" r:id="rId1"/>
    <hyperlink ref="D6" r:id="rId2"/>
    <hyperlink ref="D7" r:id="rId3"/>
    <hyperlink ref="D8" r:id="rId4"/>
  </hyperlink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457A6"/>
    <pageSetUpPr fitToPage="1"/>
  </sheetPr>
  <dimension ref="A1:B1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90" customWidth="1"/>
  </cols>
  <sheetData>
    <row r="1" ht="26" customHeight="1" spans="1:2" x14ac:dyDescent="0.25">
      <c r="A1" s="1" t="s">
        <v>194</v>
      </c>
      <c r="B1" s="1"/>
    </row>
    <row r="2" ht="36" customHeight="1" spans="1:2" x14ac:dyDescent="0.25">
      <c r="A2" s="2" t="s">
        <v>195</v>
      </c>
      <c r="B2" s="2"/>
    </row>
    <row r="4" ht="28" customHeight="1" spans="1:2" s="3" customFormat="1" x14ac:dyDescent="0.25">
      <c r="A4" s="3" t="s">
        <v>196</v>
      </c>
      <c r="B4" s="3" t="s">
        <v>197</v>
      </c>
    </row>
    <row r="5" ht="36" customHeight="1" spans="1:2" x14ac:dyDescent="0.25">
      <c r="A5" s="15" t="s">
        <v>198</v>
      </c>
      <c r="B5" s="7" t="s">
        <v>199</v>
      </c>
    </row>
    <row r="6" ht="36" customHeight="1" spans="1:2" x14ac:dyDescent="0.25">
      <c r="A6" s="22" t="s">
        <v>200</v>
      </c>
      <c r="B6" s="8" t="s">
        <v>201</v>
      </c>
    </row>
    <row r="7" ht="48" customHeight="1" spans="1:2" x14ac:dyDescent="0.25">
      <c r="A7" s="15" t="s">
        <v>202</v>
      </c>
      <c r="B7" s="7" t="s">
        <v>203</v>
      </c>
    </row>
    <row r="8" ht="36" customHeight="1" spans="1:2" x14ac:dyDescent="0.25">
      <c r="A8" s="22" t="s">
        <v>204</v>
      </c>
      <c r="B8" s="8" t="s">
        <v>205</v>
      </c>
    </row>
    <row r="9" ht="36" customHeight="1" spans="1:2" x14ac:dyDescent="0.25">
      <c r="A9" s="15" t="s">
        <v>206</v>
      </c>
      <c r="B9" s="7" t="s">
        <v>207</v>
      </c>
    </row>
    <row r="10" ht="36" customHeight="1" spans="1:2" x14ac:dyDescent="0.25">
      <c r="A10" s="22" t="s">
        <v>208</v>
      </c>
      <c r="B10" s="8" t="s">
        <v>209</v>
      </c>
    </row>
    <row r="11" ht="36" customHeight="1" spans="1:2" x14ac:dyDescent="0.25">
      <c r="A11" s="15" t="s">
        <v>210</v>
      </c>
      <c r="B11" s="7" t="s">
        <v>211</v>
      </c>
    </row>
    <row r="12" ht="36" customHeight="1" spans="1:2" x14ac:dyDescent="0.25">
      <c r="A12" s="22" t="s">
        <v>212</v>
      </c>
      <c r="B12" s="8" t="s">
        <v>213</v>
      </c>
    </row>
    <row r="13" ht="36" customHeight="1" spans="1:2" x14ac:dyDescent="0.25">
      <c r="A13" s="15" t="s">
        <v>214</v>
      </c>
      <c r="B13" s="7" t="s">
        <v>215</v>
      </c>
    </row>
    <row r="14" ht="36" customHeight="1" spans="1:2" x14ac:dyDescent="0.25">
      <c r="A14" s="22" t="s">
        <v>216</v>
      </c>
      <c r="B14" s="8" t="s">
        <v>217</v>
      </c>
    </row>
  </sheetData>
  <mergeCells count="2">
    <mergeCell ref="A1:B1"/>
    <mergeCell ref="A2:B2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5A00"/>
    <pageSetUpPr fitToPage="1"/>
  </sheetPr>
  <dimension ref="A1:B1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90" customWidth="1"/>
  </cols>
  <sheetData>
    <row r="1" ht="26" customHeight="1" spans="1:2" x14ac:dyDescent="0.25">
      <c r="A1" s="1" t="s">
        <v>218</v>
      </c>
      <c r="B1" s="1"/>
    </row>
    <row r="3" ht="28" customHeight="1" spans="1:2" s="3" customFormat="1" x14ac:dyDescent="0.25">
      <c r="A3" s="3" t="s">
        <v>43</v>
      </c>
      <c r="B3" s="3" t="s">
        <v>219</v>
      </c>
    </row>
    <row r="4" ht="36" customHeight="1" spans="1:2" x14ac:dyDescent="0.25">
      <c r="A4" s="15" t="s">
        <v>220</v>
      </c>
      <c r="B4" s="7" t="s">
        <v>221</v>
      </c>
    </row>
    <row r="5" ht="36" customHeight="1" spans="1:2" x14ac:dyDescent="0.25">
      <c r="A5" s="22" t="s">
        <v>222</v>
      </c>
      <c r="B5" s="8" t="s">
        <v>223</v>
      </c>
    </row>
    <row r="6" ht="36" customHeight="1" spans="1:2" x14ac:dyDescent="0.25">
      <c r="A6" s="15" t="s">
        <v>224</v>
      </c>
      <c r="B6" s="7" t="s">
        <v>225</v>
      </c>
    </row>
    <row r="7" ht="36" customHeight="1" spans="1:2" x14ac:dyDescent="0.25">
      <c r="A7" s="22" t="s">
        <v>226</v>
      </c>
      <c r="B7" s="8" t="s">
        <v>227</v>
      </c>
    </row>
    <row r="8" ht="36" customHeight="1" spans="1:2" x14ac:dyDescent="0.25">
      <c r="A8" s="15" t="s">
        <v>228</v>
      </c>
      <c r="B8" s="7" t="s">
        <v>229</v>
      </c>
    </row>
    <row r="9" ht="36" customHeight="1" spans="1:2" x14ac:dyDescent="0.25">
      <c r="A9" s="22" t="s">
        <v>230</v>
      </c>
      <c r="B9" s="8" t="s">
        <v>231</v>
      </c>
    </row>
    <row r="10" ht="36" customHeight="1" spans="1:2" x14ac:dyDescent="0.25">
      <c r="A10" s="15" t="s">
        <v>232</v>
      </c>
      <c r="B10" s="7" t="s">
        <v>233</v>
      </c>
    </row>
    <row r="11" ht="36" customHeight="1" spans="1:2" x14ac:dyDescent="0.25">
      <c r="A11" s="22" t="s">
        <v>234</v>
      </c>
      <c r="B11" s="8" t="s">
        <v>235</v>
      </c>
    </row>
    <row r="12" ht="36" customHeight="1" spans="1:2" x14ac:dyDescent="0.25">
      <c r="A12" s="15" t="s">
        <v>236</v>
      </c>
      <c r="B12" s="7" t="s">
        <v>237</v>
      </c>
    </row>
    <row r="13" ht="36" customHeight="1" spans="1:2" x14ac:dyDescent="0.25">
      <c r="A13" s="22" t="s">
        <v>238</v>
      </c>
      <c r="B13" s="8" t="s">
        <v>239</v>
      </c>
    </row>
    <row r="14" ht="36" customHeight="1" spans="1:2" x14ac:dyDescent="0.25">
      <c r="A14" s="15" t="s">
        <v>240</v>
      </c>
      <c r="B14" s="7" t="s">
        <v>241</v>
      </c>
    </row>
    <row r="15" ht="36" customHeight="1" spans="1:2" x14ac:dyDescent="0.25">
      <c r="A15" s="22" t="s">
        <v>242</v>
      </c>
      <c r="B15" s="8" t="s">
        <v>243</v>
      </c>
    </row>
    <row r="16" ht="36" customHeight="1" spans="1:2" x14ac:dyDescent="0.25">
      <c r="A16" s="15" t="s">
        <v>244</v>
      </c>
      <c r="B16" s="7" t="s">
        <v>245</v>
      </c>
    </row>
    <row r="17" ht="36" customHeight="1" spans="1:2" x14ac:dyDescent="0.25">
      <c r="A17" s="22" t="s">
        <v>246</v>
      </c>
      <c r="B17" s="8" t="s">
        <v>247</v>
      </c>
    </row>
  </sheetData>
  <mergeCells count="1">
    <mergeCell ref="A1:B1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7A4D"/>
    <pageSetUpPr fitToPage="1"/>
  </sheetPr>
  <dimension ref="A1:E1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55" customWidth="1"/>
    <col min="2" max="2" width="14" customWidth="1"/>
    <col min="3" max="3" width="16" customWidth="1"/>
    <col min="4" max="4" width="18" customWidth="1"/>
    <col min="5" max="5" width="55" customWidth="1"/>
  </cols>
  <sheetData>
    <row r="1" ht="26" customHeight="1" spans="1:5" x14ac:dyDescent="0.25">
      <c r="A1" s="1" t="s">
        <v>248</v>
      </c>
      <c r="B1" s="1"/>
      <c r="C1" s="1"/>
      <c r="D1" s="1"/>
      <c r="E1" s="1"/>
    </row>
    <row r="3" ht="28" customHeight="1" spans="1:5" s="3" customFormat="1" x14ac:dyDescent="0.25">
      <c r="A3" s="3" t="s">
        <v>249</v>
      </c>
      <c r="B3" s="3" t="s">
        <v>250</v>
      </c>
      <c r="C3" s="3" t="s">
        <v>251</v>
      </c>
      <c r="D3" s="3" t="s">
        <v>252</v>
      </c>
      <c r="E3" s="3" t="s">
        <v>253</v>
      </c>
    </row>
    <row r="4" ht="22" customHeight="1" spans="1:5" x14ac:dyDescent="0.25">
      <c r="A4" s="10" t="s">
        <v>254</v>
      </c>
      <c r="B4" s="23">
        <v>26.39</v>
      </c>
      <c r="C4" s="10">
        <v>2</v>
      </c>
      <c r="D4" s="23">
        <f>B4*C4</f>
      </c>
      <c r="E4" s="10" t="s">
        <v>255</v>
      </c>
    </row>
    <row r="5" ht="22" customHeight="1" spans="1:5" x14ac:dyDescent="0.25">
      <c r="A5" s="10" t="s">
        <v>256</v>
      </c>
      <c r="B5" s="23">
        <v>108.18</v>
      </c>
      <c r="C5" s="10">
        <v>1</v>
      </c>
      <c r="D5" s="23">
        <f>B5*C5</f>
      </c>
      <c r="E5" s="10" t="s">
        <v>257</v>
      </c>
    </row>
    <row r="6" ht="22" customHeight="1" spans="1:5" x14ac:dyDescent="0.25">
      <c r="A6" s="10" t="s">
        <v>258</v>
      </c>
      <c r="B6" s="23">
        <v>4.64</v>
      </c>
      <c r="C6" s="10">
        <v>3</v>
      </c>
      <c r="D6" s="23">
        <f>B6*C6</f>
      </c>
      <c r="E6" s="10" t="s">
        <v>259</v>
      </c>
    </row>
    <row r="7" ht="22" customHeight="1" spans="1:5" x14ac:dyDescent="0.25">
      <c r="A7" s="10" t="s">
        <v>260</v>
      </c>
      <c r="B7" s="23">
        <v>8</v>
      </c>
      <c r="C7" s="10">
        <v>2</v>
      </c>
      <c r="D7" s="23">
        <f>B7*C7</f>
      </c>
      <c r="E7" s="10" t="s">
        <v>261</v>
      </c>
    </row>
    <row r="8" spans="1:4" s="24" customFormat="1" x14ac:dyDescent="0.25">
      <c r="A8" s="25" t="s">
        <v>105</v>
      </c>
      <c r="D8" s="26">
        <f>SUM(D4:D7)</f>
      </c>
    </row>
    <row r="10" spans="1:5" x14ac:dyDescent="0.25">
      <c r="A10" s="27" t="s">
        <v>262</v>
      </c>
      <c r="B10" s="27"/>
      <c r="C10" s="27"/>
      <c r="D10" s="27"/>
      <c r="E10" s="27"/>
    </row>
    <row r="11" spans="1:5" x14ac:dyDescent="0.25">
      <c r="A11" s="10" t="s">
        <v>263</v>
      </c>
      <c r="B11" s="23">
        <v>16.81</v>
      </c>
      <c r="C11" s="10">
        <v>1</v>
      </c>
      <c r="D11" s="23">
        <f>B11*C11</f>
      </c>
      <c r="E11" s="10" t="s">
        <v>64</v>
      </c>
    </row>
    <row r="12" spans="1:5" x14ac:dyDescent="0.25">
      <c r="A12" s="10" t="s">
        <v>264</v>
      </c>
      <c r="B12" s="23">
        <v>20.58</v>
      </c>
      <c r="C12" s="10">
        <v>1</v>
      </c>
      <c r="D12" s="23">
        <f>B12*C12</f>
      </c>
      <c r="E12" s="10" t="s">
        <v>64</v>
      </c>
    </row>
    <row r="13" spans="1:5" x14ac:dyDescent="0.25">
      <c r="A13" s="10" t="s">
        <v>265</v>
      </c>
      <c r="B13" s="23">
        <v>299</v>
      </c>
      <c r="C13" s="10">
        <v>1</v>
      </c>
      <c r="D13" s="23">
        <f>B13*C13</f>
      </c>
      <c r="E13" s="10" t="s">
        <v>64</v>
      </c>
    </row>
    <row r="14" spans="1:5" x14ac:dyDescent="0.25">
      <c r="A14" s="10" t="s">
        <v>266</v>
      </c>
      <c r="B14" s="23">
        <v>351.78</v>
      </c>
      <c r="C14" s="10">
        <v>1</v>
      </c>
      <c r="D14" s="23">
        <f>B14*C14</f>
      </c>
      <c r="E14" s="10" t="s">
        <v>64</v>
      </c>
    </row>
    <row r="15" spans="1:5" x14ac:dyDescent="0.25">
      <c r="A15" s="10" t="s">
        <v>267</v>
      </c>
      <c r="B15" s="23">
        <v>120</v>
      </c>
      <c r="C15" s="10">
        <v>1</v>
      </c>
      <c r="D15" s="23">
        <f>B15*C15</f>
      </c>
      <c r="E15" s="10" t="s">
        <v>64</v>
      </c>
    </row>
    <row r="16" spans="1:4" s="28" customFormat="1" x14ac:dyDescent="0.25">
      <c r="A16" s="29" t="s">
        <v>268</v>
      </c>
      <c r="D16" s="30">
        <f>SUM(D11:D15)</f>
      </c>
    </row>
    <row r="18" spans="1:5" x14ac:dyDescent="0.25">
      <c r="A18" s="2" t="s">
        <v>269</v>
      </c>
      <c r="B18" s="2"/>
      <c r="C18" s="2"/>
      <c r="D18" s="2"/>
      <c r="E18" s="2"/>
    </row>
  </sheetData>
  <mergeCells count="3">
    <mergeCell ref="A1:E1"/>
    <mergeCell ref="A10:E10"/>
    <mergeCell ref="A18:E18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  <pageSetUpPr fitToPage="1"/>
  </sheetPr>
  <dimension ref="A1:B12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42" customWidth="1"/>
    <col min="2" max="2" width="88" customWidth="1"/>
  </cols>
  <sheetData>
    <row r="1" ht="26" customHeight="1" spans="1:2" x14ac:dyDescent="0.25">
      <c r="A1" s="1" t="s">
        <v>270</v>
      </c>
      <c r="B1" s="1"/>
    </row>
    <row r="3" ht="28" customHeight="1" spans="1:2" s="3" customFormat="1" x14ac:dyDescent="0.25">
      <c r="A3" s="3" t="s">
        <v>271</v>
      </c>
      <c r="B3" s="3" t="s">
        <v>272</v>
      </c>
    </row>
    <row r="4" ht="36" customHeight="1" spans="1:2" x14ac:dyDescent="0.25">
      <c r="A4" s="31" t="s">
        <v>273</v>
      </c>
      <c r="B4" s="31" t="s">
        <v>274</v>
      </c>
    </row>
    <row r="5" ht="36" customHeight="1" spans="1:2" x14ac:dyDescent="0.25">
      <c r="A5" s="31" t="s">
        <v>275</v>
      </c>
      <c r="B5" s="31" t="s">
        <v>276</v>
      </c>
    </row>
    <row r="6" ht="36" customHeight="1" spans="1:2" x14ac:dyDescent="0.25">
      <c r="A6" s="31" t="s">
        <v>277</v>
      </c>
      <c r="B6" s="31" t="s">
        <v>278</v>
      </c>
    </row>
    <row r="7" ht="36" customHeight="1" spans="1:2" x14ac:dyDescent="0.25">
      <c r="A7" s="31" t="s">
        <v>279</v>
      </c>
      <c r="B7" s="31" t="s">
        <v>280</v>
      </c>
    </row>
    <row r="8" ht="36" customHeight="1" spans="1:2" x14ac:dyDescent="0.25">
      <c r="A8" s="31" t="s">
        <v>281</v>
      </c>
      <c r="B8" s="31" t="s">
        <v>282</v>
      </c>
    </row>
    <row r="9" ht="36" customHeight="1" spans="1:2" x14ac:dyDescent="0.25">
      <c r="A9" s="31" t="s">
        <v>283</v>
      </c>
      <c r="B9" s="31" t="s">
        <v>284</v>
      </c>
    </row>
    <row r="10" ht="36" customHeight="1" spans="1:2" x14ac:dyDescent="0.25">
      <c r="A10" s="31" t="s">
        <v>285</v>
      </c>
      <c r="B10" s="31" t="s">
        <v>286</v>
      </c>
    </row>
    <row r="12" ht="32" customHeight="1" spans="1:2" x14ac:dyDescent="0.25">
      <c r="A12" s="2" t="s">
        <v>287</v>
      </c>
      <c r="B12" s="2"/>
    </row>
  </sheetData>
  <mergeCells count="2">
    <mergeCell ref="A1:B1"/>
    <mergeCell ref="A12:B12"/>
  </mergeCells>
  <printOptions horizontalCentered="1"/>
  <pageSetup paperSize="9" orientation="landscape" fitToWidth="1" fitToHeight="0"/>
  <headerFooter>
    <oddFooter>LED Warehouse · склад в Израиле · цены AliExpress на 8 октября 2026 · не является юридическим или таможенным заключением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 чего начать</vt:lpstr>
      <vt:lpstr>Частоты Израиля</vt:lpstr>
      <vt:lpstr>Растаможка</vt:lpstr>
      <vt:lpstr>Сравнение</vt:lpstr>
      <vt:lpstr>Каталог AliExpress</vt:lpstr>
      <vt:lpstr>Не покупать</vt:lpstr>
      <vt:lpstr>Интеграция API</vt:lpstr>
      <vt:lpstr>Что ещё учесть</vt:lpstr>
      <vt:lpstr>Смета</vt:lpstr>
      <vt:lpstr>Источники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 Warehouse</dc:creator>
  <dc:title>Рамка, бирки и сканер для склада в Израиле</dc:title>
  <dc:subject/>
  <dc:description/>
  <cp:keywords/>
  <cp:category/>
  <cp:lastModifiedBy>Unknown</cp:lastModifiedBy>
  <dcterms:created xsi:type="dcterms:W3CDTF">2026-10-08T16:30:00Z</dcterms:created>
  <dcterms:modified xsi:type="dcterms:W3CDTF">2026-10-08T16:36:33Z</dcterms:modified>
</cp:coreProperties>
</file>